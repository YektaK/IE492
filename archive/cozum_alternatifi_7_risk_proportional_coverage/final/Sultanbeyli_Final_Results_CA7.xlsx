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Senaryolar" sheetId="2" state="visible" r:id="rId2"/>
    <sheet xmlns:r="http://schemas.openxmlformats.org/officeDocument/2006/relationships" name="02_L_i_Profili" sheetId="3" state="visible" r:id="rId3"/>
    <sheet xmlns:r="http://schemas.openxmlformats.org/officeDocument/2006/relationships" name="03_Gamma_Sweep" sheetId="4" state="visible" r:id="rId4"/>
    <sheet xmlns:r="http://schemas.openxmlformats.org/officeDocument/2006/relationships" name="04_Coverage_Gamma" sheetId="5" state="visible" r:id="rId5"/>
    <sheet xmlns:r="http://schemas.openxmlformats.org/officeDocument/2006/relationships" name="05_Lexicographic" sheetId="6" state="visible" r:id="rId6"/>
    <sheet xmlns:r="http://schemas.openxmlformats.org/officeDocument/2006/relationships" name="06_Karsilastirma" sheetId="7" state="visible" r:id="rId7"/>
    <sheet xmlns:r="http://schemas.openxmlformats.org/officeDocument/2006/relationships" name="07_AHP_Weights" sheetId="8" state="visible" r:id="rId8"/>
    <sheet xmlns:r="http://schemas.openxmlformats.org/officeDocument/2006/relationships" name="08_TOPSIS_Toplam" sheetId="9" state="visible" r:id="rId9"/>
    <sheet xmlns:r="http://schemas.openxmlformats.org/officeDocument/2006/relationships" name="09_Selected_MEV_g1" sheetId="10" state="visible" r:id="rId10"/>
    <sheet xmlns:r="http://schemas.openxmlformats.org/officeDocument/2006/relationships" name="10_Selected_{tag}_g1" sheetId="11" state="visible" r:id="rId11"/>
    <sheet xmlns:r="http://schemas.openxmlformats.org/officeDocument/2006/relationships" name="11_Inputs_Adaylar" sheetId="12" state="visible" r:id="rId12"/>
    <sheet xmlns:r="http://schemas.openxmlformats.org/officeDocument/2006/relationships" name="12_Inputs_Mevcut" sheetId="13" state="visible" r:id="rId13"/>
    <sheet xmlns:r="http://schemas.openxmlformats.org/officeDocument/2006/relationships" name="13_Inputs_Mahalle_Risk" sheetId="14" state="visible" r:id="rId14"/>
    <sheet xmlns:r="http://schemas.openxmlformats.org/officeDocument/2006/relationships" name="14_Inputs_Mahalle_Nufus" sheetId="15" state="visible" r:id="rId15"/>
    <sheet xmlns:r="http://schemas.openxmlformats.org/officeDocument/2006/relationships" name="15_Mu_Aday" sheetId="16" state="visible" r:id="rId16"/>
    <sheet xmlns:r="http://schemas.openxmlformats.org/officeDocument/2006/relationships" name="16_Mu_Mevcut" sheetId="17" state="visible" r:id="rId17"/>
    <sheet xmlns:r="http://schemas.openxmlformats.org/officeDocument/2006/relationships" name="17_Notlar" sheetId="18" state="visible" r:id="rId18"/>
    <sheet xmlns:r="http://schemas.openxmlformats.org/officeDocument/2006/relationships" name="18_Raporlam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CA7 - Risk-Orantili Coverage (Equity-Aware IP)</t>
        </is>
      </c>
    </row>
    <row r="3">
      <c r="A3" t="inlineStr">
        <is>
          <t>Problem: Yuksek riskli mahallelere (ABDURRAHMANGAZI, HAMIDIYE, MEHMET AKIF) daha fazla coverage saglamak.</t>
        </is>
      </c>
    </row>
    <row r="4">
      <c r="A4" t="inlineStr">
        <is>
          <t>Cozum: Proportional Lower Bound (CA7a) + Lexicographic (CA7b) IP.</t>
        </is>
      </c>
    </row>
    <row r="5">
      <c r="A5" t="inlineStr">
        <is>
          <t>Akademik referans: Marsh &amp; Schilling (1994), Erkut (1993).</t>
        </is>
      </c>
    </row>
    <row r="7">
      <c r="A7" t="inlineStr">
        <is>
          <t>Sayfalar:</t>
        </is>
      </c>
    </row>
    <row r="9">
      <c r="A9" s="2" t="inlineStr">
        <is>
          <t>01_Senaryolar</t>
        </is>
      </c>
      <c r="B9" t="inlineStr">
        <is>
          <t>CA7a MEV/NMEV x 5 gamma senaryolari</t>
        </is>
      </c>
    </row>
    <row r="10">
      <c r="A10" s="2" t="inlineStr">
        <is>
          <t>02_L_i_Profili</t>
        </is>
      </c>
      <c r="B10" t="inlineStr">
        <is>
          <t>Mahalle riskine orantili alt sinir profili</t>
        </is>
      </c>
    </row>
    <row r="11">
      <c r="A11" s="2" t="inlineStr">
        <is>
          <t>03_Gamma_Sweep</t>
        </is>
      </c>
      <c r="B11" t="inlineStr">
        <is>
          <t>Z, secim, rho(R,C) ozet tablosu</t>
        </is>
      </c>
    </row>
    <row r="12">
      <c r="A12" s="2" t="inlineStr">
        <is>
          <t>04_Coverage_Gamma</t>
        </is>
      </c>
      <c r="B12" t="inlineStr">
        <is>
          <t>Her gamma icin mahalle coverage matrisi</t>
        </is>
      </c>
    </row>
    <row r="13">
      <c r="A13" s="2" t="inlineStr">
        <is>
          <t>05_Lexicographic</t>
        </is>
      </c>
      <c r="B13" t="inlineStr">
        <is>
          <t>CA7b 2-asamali IP sonuclari</t>
        </is>
      </c>
    </row>
    <row r="14">
      <c r="A14" s="2" t="inlineStr">
        <is>
          <t>06_Karsilastirma</t>
        </is>
      </c>
      <c r="B14" t="inlineStr">
        <is>
          <t>CA7 vs Orig + CA1-6</t>
        </is>
      </c>
    </row>
    <row r="15">
      <c r="A15" s="2" t="inlineStr">
        <is>
          <t>07_AHP_Weights</t>
        </is>
      </c>
      <c r="B15" t="inlineStr">
        <is>
          <t>AHP agirliklari (orijinal)</t>
        </is>
      </c>
    </row>
    <row r="16">
      <c r="A16" s="2" t="inlineStr">
        <is>
          <t>08_TOPSIS_Toplam</t>
        </is>
      </c>
      <c r="B16" t="inlineStr">
        <is>
          <t>TOPSIS skorlari (orijinal)</t>
        </is>
      </c>
    </row>
    <row r="17">
      <c r="A17" s="2" t="inlineStr">
        <is>
          <t>09_Selected_MEV_g1</t>
        </is>
      </c>
      <c r="B17" t="inlineStr">
        <is>
          <t>CA7a MEV gamma=1.0 secim detayi</t>
        </is>
      </c>
    </row>
    <row r="18">
      <c r="A18" s="2" t="inlineStr">
        <is>
          <t>10_Selected_NMEV_g1</t>
        </is>
      </c>
      <c r="B18" t="inlineStr">
        <is>
          <t>CA7a NMEV gamma=1.0 secim detayi</t>
        </is>
      </c>
    </row>
    <row r="19">
      <c r="A19" s="2" t="inlineStr">
        <is>
          <t>11_Inputs_Adaylar</t>
        </is>
      </c>
      <c r="B19" t="inlineStr">
        <is>
          <t>140 aday konteyner</t>
        </is>
      </c>
    </row>
    <row r="20">
      <c r="A20" s="2" t="inlineStr">
        <is>
          <t>12_Inputs_Mevcut</t>
        </is>
      </c>
      <c r="B20" t="inlineStr">
        <is>
          <t>12 mevcut konteyner</t>
        </is>
      </c>
    </row>
    <row r="21">
      <c r="A21" s="2" t="inlineStr">
        <is>
          <t>13_Inputs_Mahalle_Risk</t>
        </is>
      </c>
      <c r="B21" t="inlineStr">
        <is>
          <t>Mahalle risk skorlari</t>
        </is>
      </c>
    </row>
    <row r="22">
      <c r="A22" s="2" t="inlineStr">
        <is>
          <t>14_Inputs_Mahalle_Nufus</t>
        </is>
      </c>
      <c r="B22" t="inlineStr">
        <is>
          <t>Mahalle nufus</t>
        </is>
      </c>
    </row>
    <row r="23">
      <c r="A23" s="2" t="inlineStr">
        <is>
          <t>15_Mu_Aday</t>
        </is>
      </c>
      <c r="B23" t="inlineStr">
        <is>
          <t>FCM mu matrisi (140 x 17)</t>
        </is>
      </c>
    </row>
    <row r="24">
      <c r="A24" s="2" t="inlineStr">
        <is>
          <t>16_Mu_Mevcut</t>
        </is>
      </c>
      <c r="B24" t="inlineStr">
        <is>
          <t>FCM mu matrisi (12 x 17)</t>
        </is>
      </c>
    </row>
    <row r="25">
      <c r="A25" s="2" t="inlineStr">
        <is>
          <t>17_Notlar</t>
        </is>
      </c>
      <c r="B25" t="inlineStr">
        <is>
          <t>Tasarim kararlari, kisitlamalar</t>
        </is>
      </c>
    </row>
    <row r="26">
      <c r="A26" s="2" t="inlineStr">
        <is>
          <t>18_Raporlama</t>
        </is>
      </c>
      <c r="B26" t="inlineStr">
        <is>
          <t>Ozet rapor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9" customWidth="1" min="4" max="4"/>
    <col width="12" customWidth="1" min="5" max="5"/>
    <col width="19" customWidth="1" min="6" max="6"/>
    <col width="19" customWidth="1" min="7" max="7"/>
    <col width="20" customWidth="1" min="8" max="8"/>
  </cols>
  <sheetData>
    <row r="1">
      <c r="A1" s="3" t="inlineStr">
        <is>
          <t>use_mevcut</t>
        </is>
      </c>
      <c r="B1" s="3" t="inlineStr">
        <is>
          <t>gamma</t>
        </is>
      </c>
      <c r="C1" s="3" t="inlineStr">
        <is>
          <t>status</t>
        </is>
      </c>
      <c r="D1" s="3" t="inlineStr">
        <is>
          <t>Z</t>
        </is>
      </c>
      <c r="E1" s="3" t="inlineStr">
        <is>
          <t>n_selected</t>
        </is>
      </c>
      <c r="F1" s="3" t="inlineStr">
        <is>
          <t>sum_coverage</t>
        </is>
      </c>
      <c r="G1" s="3" t="inlineStr">
        <is>
          <t>sum_RxC</t>
        </is>
      </c>
      <c r="H1" s="3" t="inlineStr">
        <is>
          <t>spearman_rho</t>
        </is>
      </c>
    </row>
    <row r="2">
      <c r="A2" t="b">
        <v>1</v>
      </c>
      <c r="B2" t="n">
        <v>0</v>
      </c>
      <c r="C2" t="inlineStr">
        <is>
          <t>Optimal</t>
        </is>
      </c>
      <c r="D2" t="n">
        <v>935.621364672892</v>
      </c>
      <c r="E2" t="n">
        <v>8</v>
      </c>
      <c r="F2" t="n">
        <v>45.5401375237135</v>
      </c>
      <c r="G2" t="n">
        <v>935.6213646728922</v>
      </c>
      <c r="H2" t="n">
        <v>0.6714285714285713</v>
      </c>
    </row>
    <row r="3">
      <c r="A3" t="b">
        <v>1</v>
      </c>
      <c r="B3" t="n">
        <v>0.25</v>
      </c>
      <c r="C3" t="inlineStr">
        <is>
          <t>Optimal</t>
        </is>
      </c>
      <c r="D3" t="n">
        <v>935.621364672892</v>
      </c>
      <c r="E3" t="n">
        <v>8</v>
      </c>
      <c r="F3" t="n">
        <v>45.5401375237135</v>
      </c>
      <c r="G3" t="n">
        <v>935.6213646728922</v>
      </c>
      <c r="H3" t="n">
        <v>0.6714285714285713</v>
      </c>
    </row>
    <row r="4">
      <c r="A4" t="b">
        <v>1</v>
      </c>
      <c r="B4" t="n">
        <v>0.5</v>
      </c>
      <c r="C4" t="inlineStr">
        <is>
          <t>Optimal</t>
        </is>
      </c>
      <c r="D4" t="n">
        <v>935.621364672892</v>
      </c>
      <c r="E4" t="n">
        <v>8</v>
      </c>
      <c r="F4" t="n">
        <v>45.5401375237135</v>
      </c>
      <c r="G4" t="n">
        <v>935.6213646728922</v>
      </c>
      <c r="H4" t="n">
        <v>0.6714285714285713</v>
      </c>
    </row>
    <row r="5">
      <c r="A5" t="b">
        <v>1</v>
      </c>
      <c r="B5" t="n">
        <v>0.75</v>
      </c>
      <c r="C5" t="inlineStr">
        <is>
          <t>Optimal</t>
        </is>
      </c>
      <c r="D5" t="n">
        <v>935.621364672892</v>
      </c>
      <c r="E5" t="n">
        <v>8</v>
      </c>
      <c r="F5" t="n">
        <v>45.5401375237135</v>
      </c>
      <c r="G5" t="n">
        <v>935.6213646728922</v>
      </c>
      <c r="H5" t="n">
        <v>0.6714285714285713</v>
      </c>
    </row>
    <row r="6">
      <c r="A6" t="b">
        <v>1</v>
      </c>
      <c r="B6" t="n">
        <v>1</v>
      </c>
      <c r="C6" t="inlineStr">
        <is>
          <t>Optimal</t>
        </is>
      </c>
      <c r="D6" t="n">
        <v>935.621364672892</v>
      </c>
      <c r="E6" t="n">
        <v>8</v>
      </c>
      <c r="F6" t="n">
        <v>45.5401375237135</v>
      </c>
      <c r="G6" t="n">
        <v>935.6213646728922</v>
      </c>
      <c r="H6" t="n">
        <v>0.6714285714285713</v>
      </c>
    </row>
    <row r="7">
      <c r="A7" t="b">
        <v>0</v>
      </c>
      <c r="B7" t="n">
        <v>0</v>
      </c>
      <c r="C7" t="inlineStr">
        <is>
          <t>Optimal</t>
        </is>
      </c>
      <c r="D7" t="n">
        <v>472.1306345154283</v>
      </c>
      <c r="E7" t="n">
        <v>8</v>
      </c>
      <c r="F7" t="n">
        <v>21.14680538015932</v>
      </c>
      <c r="G7" t="n">
        <v>472.1306345154284</v>
      </c>
      <c r="H7" t="n">
        <v>0.7142857142857142</v>
      </c>
    </row>
    <row r="8">
      <c r="A8" t="b">
        <v>0</v>
      </c>
      <c r="B8" t="n">
        <v>0.25</v>
      </c>
      <c r="C8" t="inlineStr">
        <is>
          <t>Optimal</t>
        </is>
      </c>
      <c r="D8" t="n">
        <v>472.1306345154283</v>
      </c>
      <c r="E8" t="n">
        <v>8</v>
      </c>
      <c r="F8" t="n">
        <v>21.14680538015932</v>
      </c>
      <c r="G8" t="n">
        <v>472.1306345154284</v>
      </c>
      <c r="H8" t="n">
        <v>0.7142857142857142</v>
      </c>
    </row>
    <row r="9">
      <c r="A9" t="b">
        <v>0</v>
      </c>
      <c r="B9" t="n">
        <v>0.5</v>
      </c>
      <c r="C9" t="inlineStr">
        <is>
          <t>Optimal</t>
        </is>
      </c>
      <c r="D9" t="n">
        <v>471.2203446365231</v>
      </c>
      <c r="E9" t="n">
        <v>8</v>
      </c>
      <c r="F9" t="n">
        <v>21.18330302343442</v>
      </c>
      <c r="G9" t="n">
        <v>471.2203446365231</v>
      </c>
      <c r="H9" t="n">
        <v>0.6714285714285713</v>
      </c>
    </row>
    <row r="10">
      <c r="A10" t="b">
        <v>0</v>
      </c>
      <c r="B10" t="n">
        <v>0.75</v>
      </c>
      <c r="C10" t="inlineStr">
        <is>
          <t>Optimal</t>
        </is>
      </c>
      <c r="D10" t="n">
        <v>471.2203446365231</v>
      </c>
      <c r="E10" t="n">
        <v>8</v>
      </c>
      <c r="F10" t="n">
        <v>21.18330302343442</v>
      </c>
      <c r="G10" t="n">
        <v>471.2203446365231</v>
      </c>
      <c r="H10" t="n">
        <v>0.6714285714285713</v>
      </c>
    </row>
    <row r="11">
      <c r="A11" t="b">
        <v>0</v>
      </c>
      <c r="B11" t="n">
        <v>1</v>
      </c>
      <c r="C11" t="inlineStr">
        <is>
          <t>Optimal</t>
        </is>
      </c>
      <c r="D11" t="n">
        <v>465.7631804861149</v>
      </c>
      <c r="E11" t="n">
        <v>8</v>
      </c>
      <c r="F11" t="n">
        <v>21.11842435900901</v>
      </c>
      <c r="G11" t="n">
        <v>465.7631804861149</v>
      </c>
      <c r="H11" t="n">
        <v>0.7107142857142856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4" customWidth="1" min="4" max="4"/>
    <col width="13" customWidth="1" min="5" max="5"/>
    <col width="18" customWidth="1" min="6" max="6"/>
  </cols>
  <sheetData>
    <row r="1">
      <c r="A1" s="3" t="inlineStr">
        <is>
          <t>gamma</t>
        </is>
      </c>
      <c r="B1" s="3" t="inlineStr">
        <is>
          <t>mahalle</t>
        </is>
      </c>
      <c r="C1" s="3" t="inlineStr">
        <is>
          <t>R_risk</t>
        </is>
      </c>
      <c r="D1" s="3" t="inlineStr">
        <is>
          <t>R_normalized</t>
        </is>
      </c>
      <c r="E1" s="3" t="inlineStr">
        <is>
          <t>is_critical</t>
        </is>
      </c>
      <c r="F1" s="3" t="inlineStr">
        <is>
          <t>L_i_proportional</t>
        </is>
      </c>
    </row>
    <row r="2">
      <c r="A2" t="n">
        <v>0</v>
      </c>
      <c r="B2" t="inlineStr">
        <is>
          <t>ABDURRAHMANGAZI</t>
        </is>
      </c>
      <c r="C2" t="n">
        <v>34.5</v>
      </c>
      <c r="D2" t="n">
        <v>1</v>
      </c>
      <c r="E2" t="b">
        <v>1</v>
      </c>
      <c r="F2" t="n">
        <v>0.5</v>
      </c>
    </row>
    <row r="3">
      <c r="A3" t="n">
        <v>0</v>
      </c>
      <c r="B3" t="inlineStr">
        <is>
          <t>ADIL</t>
        </is>
      </c>
      <c r="C3" t="n">
        <v>3.4</v>
      </c>
      <c r="D3" t="n">
        <v>0.09859999999999999</v>
      </c>
      <c r="E3" t="b">
        <v>0</v>
      </c>
      <c r="F3" t="n">
        <v>0.5</v>
      </c>
    </row>
    <row r="4">
      <c r="A4" t="n">
        <v>0</v>
      </c>
      <c r="B4" t="inlineStr">
        <is>
          <t>AHMET YESEVI</t>
        </is>
      </c>
      <c r="C4" t="n">
        <v>19.8</v>
      </c>
      <c r="D4" t="n">
        <v>0.5739</v>
      </c>
      <c r="E4" t="b">
        <v>1</v>
      </c>
      <c r="F4" t="n">
        <v>0.5</v>
      </c>
    </row>
    <row r="5">
      <c r="A5" t="n">
        <v>0</v>
      </c>
      <c r="B5" t="inlineStr">
        <is>
          <t>AKSEMSETTIN</t>
        </is>
      </c>
      <c r="C5" t="n">
        <v>8.9</v>
      </c>
      <c r="D5" t="n">
        <v>0.258</v>
      </c>
      <c r="E5" t="b">
        <v>0</v>
      </c>
      <c r="F5" t="n">
        <v>0.5</v>
      </c>
    </row>
    <row r="6">
      <c r="A6" t="n">
        <v>0</v>
      </c>
      <c r="B6" t="inlineStr">
        <is>
          <t>BATTALGAZI</t>
        </is>
      </c>
      <c r="C6" t="n">
        <v>18.4</v>
      </c>
      <c r="D6" t="n">
        <v>0.5333</v>
      </c>
      <c r="E6" t="b">
        <v>1</v>
      </c>
      <c r="F6" t="n">
        <v>0.5</v>
      </c>
    </row>
    <row r="7">
      <c r="A7" t="n">
        <v>0</v>
      </c>
      <c r="B7" t="inlineStr">
        <is>
          <t>FATIH</t>
        </is>
      </c>
      <c r="C7" t="n">
        <v>17</v>
      </c>
      <c r="D7" t="n">
        <v>0.4928</v>
      </c>
      <c r="E7" t="b">
        <v>1</v>
      </c>
      <c r="F7" t="n">
        <v>0.5</v>
      </c>
    </row>
    <row r="8">
      <c r="A8" t="n">
        <v>0</v>
      </c>
      <c r="B8" t="inlineStr">
        <is>
          <t>HAMIDIYE</t>
        </is>
      </c>
      <c r="C8" t="n">
        <v>32.7</v>
      </c>
      <c r="D8" t="n">
        <v>0.9478</v>
      </c>
      <c r="E8" t="b">
        <v>1</v>
      </c>
      <c r="F8" t="n">
        <v>0.5</v>
      </c>
    </row>
    <row r="9">
      <c r="A9" t="n">
        <v>0</v>
      </c>
      <c r="B9" t="inlineStr">
        <is>
          <t>HASANPASA</t>
        </is>
      </c>
      <c r="C9" t="n">
        <v>15.1</v>
      </c>
      <c r="D9" t="n">
        <v>0.4377</v>
      </c>
      <c r="E9" t="b">
        <v>1</v>
      </c>
      <c r="F9" t="n">
        <v>0.5</v>
      </c>
    </row>
    <row r="10">
      <c r="A10" t="n">
        <v>0</v>
      </c>
      <c r="B10" t="inlineStr">
        <is>
          <t>MECIDIYE</t>
        </is>
      </c>
      <c r="C10" t="n">
        <v>15.5</v>
      </c>
      <c r="D10" t="n">
        <v>0.4493</v>
      </c>
      <c r="E10" t="b">
        <v>1</v>
      </c>
      <c r="F10" t="n">
        <v>0.5</v>
      </c>
    </row>
    <row r="11">
      <c r="A11" t="n">
        <v>0</v>
      </c>
      <c r="B11" t="inlineStr">
        <is>
          <t>MEHMET AKIF</t>
        </is>
      </c>
      <c r="C11" t="n">
        <v>31</v>
      </c>
      <c r="D11" t="n">
        <v>0.8986</v>
      </c>
      <c r="E11" t="b">
        <v>1</v>
      </c>
      <c r="F11" t="n">
        <v>0.5</v>
      </c>
    </row>
    <row r="12">
      <c r="A12" t="n">
        <v>0</v>
      </c>
      <c r="B12" t="inlineStr">
        <is>
          <t>MIMAR SINAN</t>
        </is>
      </c>
      <c r="C12" t="n">
        <v>3.9</v>
      </c>
      <c r="D12" t="n">
        <v>0.113</v>
      </c>
      <c r="E12" t="b">
        <v>0</v>
      </c>
      <c r="F12" t="n">
        <v>0.5</v>
      </c>
    </row>
    <row r="13">
      <c r="A13" t="n">
        <v>0</v>
      </c>
      <c r="B13" t="inlineStr">
        <is>
          <t>NECIP FAZIL</t>
        </is>
      </c>
      <c r="C13" t="n">
        <v>17.6</v>
      </c>
      <c r="D13" t="n">
        <v>0.5101</v>
      </c>
      <c r="E13" t="b">
        <v>1</v>
      </c>
      <c r="F13" t="n">
        <v>0.5</v>
      </c>
    </row>
    <row r="14">
      <c r="A14" t="n">
        <v>0</v>
      </c>
      <c r="B14" t="inlineStr">
        <is>
          <t>ORHANGAZI</t>
        </is>
      </c>
      <c r="C14" t="n">
        <v>19.5</v>
      </c>
      <c r="D14" t="n">
        <v>0.5652</v>
      </c>
      <c r="E14" t="b">
        <v>1</v>
      </c>
      <c r="F14" t="n">
        <v>0.5</v>
      </c>
    </row>
    <row r="15">
      <c r="A15" t="n">
        <v>0</v>
      </c>
      <c r="B15" t="inlineStr">
        <is>
          <t>SALGAMLI DEVLET ORMANI</t>
        </is>
      </c>
      <c r="C15" t="n">
        <v>0</v>
      </c>
      <c r="D15" t="n">
        <v>0</v>
      </c>
      <c r="E15" t="b">
        <v>0</v>
      </c>
      <c r="F15" t="n">
        <v>0.5</v>
      </c>
    </row>
    <row r="16">
      <c r="A16" t="n">
        <v>0</v>
      </c>
      <c r="B16" t="inlineStr">
        <is>
          <t>TEFERRUC TEPE ORMANI</t>
        </is>
      </c>
      <c r="C16" t="n">
        <v>0</v>
      </c>
      <c r="D16" t="n">
        <v>0</v>
      </c>
      <c r="E16" t="b">
        <v>0</v>
      </c>
      <c r="F16" t="n">
        <v>0.5</v>
      </c>
    </row>
    <row r="17">
      <c r="A17" t="n">
        <v>0</v>
      </c>
      <c r="B17" t="inlineStr">
        <is>
          <t>TURGUT REIS</t>
        </is>
      </c>
      <c r="C17" t="n">
        <v>6.9</v>
      </c>
      <c r="D17" t="n">
        <v>0.2</v>
      </c>
      <c r="E17" t="b">
        <v>0</v>
      </c>
      <c r="F17" t="n">
        <v>0.5</v>
      </c>
    </row>
    <row r="18">
      <c r="A18" t="n">
        <v>0</v>
      </c>
      <c r="B18" t="inlineStr">
        <is>
          <t>YAVUZ SELIM</t>
        </is>
      </c>
      <c r="C18" t="n">
        <v>17.2</v>
      </c>
      <c r="D18" t="n">
        <v>0.4986</v>
      </c>
      <c r="E18" t="b">
        <v>1</v>
      </c>
      <c r="F18" t="n">
        <v>0.5</v>
      </c>
    </row>
    <row r="19">
      <c r="A19" t="n">
        <v>0.25</v>
      </c>
      <c r="B19" t="inlineStr">
        <is>
          <t>ABDURRAHMANGAZI</t>
        </is>
      </c>
      <c r="C19" t="n">
        <v>34.5</v>
      </c>
      <c r="D19" t="n">
        <v>1</v>
      </c>
      <c r="E19" t="b">
        <v>1</v>
      </c>
      <c r="F19" t="n">
        <v>0.625</v>
      </c>
    </row>
    <row r="20">
      <c r="A20" t="n">
        <v>0.25</v>
      </c>
      <c r="B20" t="inlineStr">
        <is>
          <t>ADIL</t>
        </is>
      </c>
      <c r="C20" t="n">
        <v>3.4</v>
      </c>
      <c r="D20" t="n">
        <v>0.09859999999999999</v>
      </c>
      <c r="E20" t="b">
        <v>0</v>
      </c>
      <c r="F20" t="n">
        <v>0.5123</v>
      </c>
    </row>
    <row r="21">
      <c r="A21" t="n">
        <v>0.25</v>
      </c>
      <c r="B21" t="inlineStr">
        <is>
          <t>AHMET YESEVI</t>
        </is>
      </c>
      <c r="C21" t="n">
        <v>19.8</v>
      </c>
      <c r="D21" t="n">
        <v>0.5739</v>
      </c>
      <c r="E21" t="b">
        <v>1</v>
      </c>
      <c r="F21" t="n">
        <v>0.5717</v>
      </c>
    </row>
    <row r="22">
      <c r="A22" t="n">
        <v>0.25</v>
      </c>
      <c r="B22" t="inlineStr">
        <is>
          <t>AKSEMSETTIN</t>
        </is>
      </c>
      <c r="C22" t="n">
        <v>8.9</v>
      </c>
      <c r="D22" t="n">
        <v>0.258</v>
      </c>
      <c r="E22" t="b">
        <v>0</v>
      </c>
      <c r="F22" t="n">
        <v>0.5322</v>
      </c>
    </row>
    <row r="23">
      <c r="A23" t="n">
        <v>0.25</v>
      </c>
      <c r="B23" t="inlineStr">
        <is>
          <t>BATTALGAZI</t>
        </is>
      </c>
      <c r="C23" t="n">
        <v>18.4</v>
      </c>
      <c r="D23" t="n">
        <v>0.5333</v>
      </c>
      <c r="E23" t="b">
        <v>1</v>
      </c>
      <c r="F23" t="n">
        <v>0.5667</v>
      </c>
    </row>
    <row r="24">
      <c r="A24" t="n">
        <v>0.25</v>
      </c>
      <c r="B24" t="inlineStr">
        <is>
          <t>FATIH</t>
        </is>
      </c>
      <c r="C24" t="n">
        <v>17</v>
      </c>
      <c r="D24" t="n">
        <v>0.4928</v>
      </c>
      <c r="E24" t="b">
        <v>1</v>
      </c>
      <c r="F24" t="n">
        <v>0.5616</v>
      </c>
    </row>
    <row r="25">
      <c r="A25" t="n">
        <v>0.25</v>
      </c>
      <c r="B25" t="inlineStr">
        <is>
          <t>HAMIDIYE</t>
        </is>
      </c>
      <c r="C25" t="n">
        <v>32.7</v>
      </c>
      <c r="D25" t="n">
        <v>0.9478</v>
      </c>
      <c r="E25" t="b">
        <v>1</v>
      </c>
      <c r="F25" t="n">
        <v>0.6185</v>
      </c>
    </row>
    <row r="26">
      <c r="A26" t="n">
        <v>0.25</v>
      </c>
      <c r="B26" t="inlineStr">
        <is>
          <t>HASANPASA</t>
        </is>
      </c>
      <c r="C26" t="n">
        <v>15.1</v>
      </c>
      <c r="D26" t="n">
        <v>0.4377</v>
      </c>
      <c r="E26" t="b">
        <v>1</v>
      </c>
      <c r="F26" t="n">
        <v>0.5547</v>
      </c>
    </row>
    <row r="27">
      <c r="A27" t="n">
        <v>0.25</v>
      </c>
      <c r="B27" t="inlineStr">
        <is>
          <t>MECIDIYE</t>
        </is>
      </c>
      <c r="C27" t="n">
        <v>15.5</v>
      </c>
      <c r="D27" t="n">
        <v>0.4493</v>
      </c>
      <c r="E27" t="b">
        <v>1</v>
      </c>
      <c r="F27" t="n">
        <v>0.5562</v>
      </c>
    </row>
    <row r="28">
      <c r="A28" t="n">
        <v>0.25</v>
      </c>
      <c r="B28" t="inlineStr">
        <is>
          <t>MEHMET AKIF</t>
        </is>
      </c>
      <c r="C28" t="n">
        <v>31</v>
      </c>
      <c r="D28" t="n">
        <v>0.8986</v>
      </c>
      <c r="E28" t="b">
        <v>1</v>
      </c>
      <c r="F28" t="n">
        <v>0.6123</v>
      </c>
    </row>
    <row r="29">
      <c r="A29" t="n">
        <v>0.25</v>
      </c>
      <c r="B29" t="inlineStr">
        <is>
          <t>MIMAR SINAN</t>
        </is>
      </c>
      <c r="C29" t="n">
        <v>3.9</v>
      </c>
      <c r="D29" t="n">
        <v>0.113</v>
      </c>
      <c r="E29" t="b">
        <v>0</v>
      </c>
      <c r="F29" t="n">
        <v>0.5141</v>
      </c>
    </row>
    <row r="30">
      <c r="A30" t="n">
        <v>0.25</v>
      </c>
      <c r="B30" t="inlineStr">
        <is>
          <t>NECIP FAZIL</t>
        </is>
      </c>
      <c r="C30" t="n">
        <v>17.6</v>
      </c>
      <c r="D30" t="n">
        <v>0.5101</v>
      </c>
      <c r="E30" t="b">
        <v>1</v>
      </c>
      <c r="F30" t="n">
        <v>0.5638</v>
      </c>
    </row>
    <row r="31">
      <c r="A31" t="n">
        <v>0.25</v>
      </c>
      <c r="B31" t="inlineStr">
        <is>
          <t>ORHANGAZI</t>
        </is>
      </c>
      <c r="C31" t="n">
        <v>19.5</v>
      </c>
      <c r="D31" t="n">
        <v>0.5652</v>
      </c>
      <c r="E31" t="b">
        <v>1</v>
      </c>
      <c r="F31" t="n">
        <v>0.5707</v>
      </c>
    </row>
    <row r="32">
      <c r="A32" t="n">
        <v>0.25</v>
      </c>
      <c r="B32" t="inlineStr">
        <is>
          <t>SALGAMLI DEVLET ORMANI</t>
        </is>
      </c>
      <c r="C32" t="n">
        <v>0</v>
      </c>
      <c r="D32" t="n">
        <v>0</v>
      </c>
      <c r="E32" t="b">
        <v>0</v>
      </c>
      <c r="F32" t="n">
        <v>0.5</v>
      </c>
    </row>
    <row r="33">
      <c r="A33" t="n">
        <v>0.25</v>
      </c>
      <c r="B33" t="inlineStr">
        <is>
          <t>TEFERRUC TEPE ORMANI</t>
        </is>
      </c>
      <c r="C33" t="n">
        <v>0</v>
      </c>
      <c r="D33" t="n">
        <v>0</v>
      </c>
      <c r="E33" t="b">
        <v>0</v>
      </c>
      <c r="F33" t="n">
        <v>0.5</v>
      </c>
    </row>
    <row r="34">
      <c r="A34" t="n">
        <v>0.25</v>
      </c>
      <c r="B34" t="inlineStr">
        <is>
          <t>TURGUT REIS</t>
        </is>
      </c>
      <c r="C34" t="n">
        <v>6.9</v>
      </c>
      <c r="D34" t="n">
        <v>0.2</v>
      </c>
      <c r="E34" t="b">
        <v>0</v>
      </c>
      <c r="F34" t="n">
        <v>0.525</v>
      </c>
    </row>
    <row r="35">
      <c r="A35" t="n">
        <v>0.25</v>
      </c>
      <c r="B35" t="inlineStr">
        <is>
          <t>YAVUZ SELIM</t>
        </is>
      </c>
      <c r="C35" t="n">
        <v>17.2</v>
      </c>
      <c r="D35" t="n">
        <v>0.4986</v>
      </c>
      <c r="E35" t="b">
        <v>1</v>
      </c>
      <c r="F35" t="n">
        <v>0.5623</v>
      </c>
    </row>
    <row r="36">
      <c r="A36" t="n">
        <v>0.5</v>
      </c>
      <c r="B36" t="inlineStr">
        <is>
          <t>ABDURRAHMANGAZI</t>
        </is>
      </c>
      <c r="C36" t="n">
        <v>34.5</v>
      </c>
      <c r="D36" t="n">
        <v>1</v>
      </c>
      <c r="E36" t="b">
        <v>1</v>
      </c>
      <c r="F36" t="n">
        <v>0.75</v>
      </c>
    </row>
    <row r="37">
      <c r="A37" t="n">
        <v>0.5</v>
      </c>
      <c r="B37" t="inlineStr">
        <is>
          <t>ADIL</t>
        </is>
      </c>
      <c r="C37" t="n">
        <v>3.4</v>
      </c>
      <c r="D37" t="n">
        <v>0.09859999999999999</v>
      </c>
      <c r="E37" t="b">
        <v>0</v>
      </c>
      <c r="F37" t="n">
        <v>0.5246</v>
      </c>
    </row>
    <row r="38">
      <c r="A38" t="n">
        <v>0.5</v>
      </c>
      <c r="B38" t="inlineStr">
        <is>
          <t>AHMET YESEVI</t>
        </is>
      </c>
      <c r="C38" t="n">
        <v>19.8</v>
      </c>
      <c r="D38" t="n">
        <v>0.5739</v>
      </c>
      <c r="E38" t="b">
        <v>1</v>
      </c>
      <c r="F38" t="n">
        <v>0.6435</v>
      </c>
    </row>
    <row r="39">
      <c r="A39" t="n">
        <v>0.5</v>
      </c>
      <c r="B39" t="inlineStr">
        <is>
          <t>AKSEMSETTIN</t>
        </is>
      </c>
      <c r="C39" t="n">
        <v>8.9</v>
      </c>
      <c r="D39" t="n">
        <v>0.258</v>
      </c>
      <c r="E39" t="b">
        <v>0</v>
      </c>
      <c r="F39" t="n">
        <v>0.5645</v>
      </c>
    </row>
    <row r="40">
      <c r="A40" t="n">
        <v>0.5</v>
      </c>
      <c r="B40" t="inlineStr">
        <is>
          <t>BATTALGAZI</t>
        </is>
      </c>
      <c r="C40" t="n">
        <v>18.4</v>
      </c>
      <c r="D40" t="n">
        <v>0.5333</v>
      </c>
      <c r="E40" t="b">
        <v>1</v>
      </c>
      <c r="F40" t="n">
        <v>0.6333</v>
      </c>
    </row>
    <row r="41">
      <c r="A41" t="n">
        <v>0.5</v>
      </c>
      <c r="B41" t="inlineStr">
        <is>
          <t>FATIH</t>
        </is>
      </c>
      <c r="C41" t="n">
        <v>17</v>
      </c>
      <c r="D41" t="n">
        <v>0.4928</v>
      </c>
      <c r="E41" t="b">
        <v>1</v>
      </c>
      <c r="F41" t="n">
        <v>0.6232</v>
      </c>
    </row>
    <row r="42">
      <c r="A42" t="n">
        <v>0.5</v>
      </c>
      <c r="B42" t="inlineStr">
        <is>
          <t>HAMIDIYE</t>
        </is>
      </c>
      <c r="C42" t="n">
        <v>32.7</v>
      </c>
      <c r="D42" t="n">
        <v>0.9478</v>
      </c>
      <c r="E42" t="b">
        <v>1</v>
      </c>
      <c r="F42" t="n">
        <v>0.737</v>
      </c>
    </row>
    <row r="43">
      <c r="A43" t="n">
        <v>0.5</v>
      </c>
      <c r="B43" t="inlineStr">
        <is>
          <t>HASANPASA</t>
        </is>
      </c>
      <c r="C43" t="n">
        <v>15.1</v>
      </c>
      <c r="D43" t="n">
        <v>0.4377</v>
      </c>
      <c r="E43" t="b">
        <v>1</v>
      </c>
      <c r="F43" t="n">
        <v>0.6094000000000001</v>
      </c>
    </row>
    <row r="44">
      <c r="A44" t="n">
        <v>0.5</v>
      </c>
      <c r="B44" t="inlineStr">
        <is>
          <t>MECIDIYE</t>
        </is>
      </c>
      <c r="C44" t="n">
        <v>15.5</v>
      </c>
      <c r="D44" t="n">
        <v>0.4493</v>
      </c>
      <c r="E44" t="b">
        <v>1</v>
      </c>
      <c r="F44" t="n">
        <v>0.6123</v>
      </c>
    </row>
    <row r="45">
      <c r="A45" t="n">
        <v>0.5</v>
      </c>
      <c r="B45" t="inlineStr">
        <is>
          <t>MEHMET AKIF</t>
        </is>
      </c>
      <c r="C45" t="n">
        <v>31</v>
      </c>
      <c r="D45" t="n">
        <v>0.8986</v>
      </c>
      <c r="E45" t="b">
        <v>1</v>
      </c>
      <c r="F45" t="n">
        <v>0.7246</v>
      </c>
    </row>
    <row r="46">
      <c r="A46" t="n">
        <v>0.5</v>
      </c>
      <c r="B46" t="inlineStr">
        <is>
          <t>MIMAR SINAN</t>
        </is>
      </c>
      <c r="C46" t="n">
        <v>3.9</v>
      </c>
      <c r="D46" t="n">
        <v>0.113</v>
      </c>
      <c r="E46" t="b">
        <v>0</v>
      </c>
      <c r="F46" t="n">
        <v>0.5283</v>
      </c>
    </row>
    <row r="47">
      <c r="A47" t="n">
        <v>0.5</v>
      </c>
      <c r="B47" t="inlineStr">
        <is>
          <t>NECIP FAZIL</t>
        </is>
      </c>
      <c r="C47" t="n">
        <v>17.6</v>
      </c>
      <c r="D47" t="n">
        <v>0.5101</v>
      </c>
      <c r="E47" t="b">
        <v>1</v>
      </c>
      <c r="F47" t="n">
        <v>0.6274999999999999</v>
      </c>
    </row>
    <row r="48">
      <c r="A48" t="n">
        <v>0.5</v>
      </c>
      <c r="B48" t="inlineStr">
        <is>
          <t>ORHANGAZI</t>
        </is>
      </c>
      <c r="C48" t="n">
        <v>19.5</v>
      </c>
      <c r="D48" t="n">
        <v>0.5652</v>
      </c>
      <c r="E48" t="b">
        <v>1</v>
      </c>
      <c r="F48" t="n">
        <v>0.6413</v>
      </c>
    </row>
    <row r="49">
      <c r="A49" t="n">
        <v>0.5</v>
      </c>
      <c r="B49" t="inlineStr">
        <is>
          <t>SALGAMLI DEVLET ORMANI</t>
        </is>
      </c>
      <c r="C49" t="n">
        <v>0</v>
      </c>
      <c r="D49" t="n">
        <v>0</v>
      </c>
      <c r="E49" t="b">
        <v>0</v>
      </c>
      <c r="F49" t="n">
        <v>0.5</v>
      </c>
    </row>
    <row r="50">
      <c r="A50" t="n">
        <v>0.5</v>
      </c>
      <c r="B50" t="inlineStr">
        <is>
          <t>TEFERRUC TEPE ORMANI</t>
        </is>
      </c>
      <c r="C50" t="n">
        <v>0</v>
      </c>
      <c r="D50" t="n">
        <v>0</v>
      </c>
      <c r="E50" t="b">
        <v>0</v>
      </c>
      <c r="F50" t="n">
        <v>0.5</v>
      </c>
    </row>
    <row r="51">
      <c r="A51" t="n">
        <v>0.5</v>
      </c>
      <c r="B51" t="inlineStr">
        <is>
          <t>TURGUT REIS</t>
        </is>
      </c>
      <c r="C51" t="n">
        <v>6.9</v>
      </c>
      <c r="D51" t="n">
        <v>0.2</v>
      </c>
      <c r="E51" t="b">
        <v>0</v>
      </c>
      <c r="F51" t="n">
        <v>0.55</v>
      </c>
    </row>
    <row r="52">
      <c r="A52" t="n">
        <v>0.5</v>
      </c>
      <c r="B52" t="inlineStr">
        <is>
          <t>YAVUZ SELIM</t>
        </is>
      </c>
      <c r="C52" t="n">
        <v>17.2</v>
      </c>
      <c r="D52" t="n">
        <v>0.4986</v>
      </c>
      <c r="E52" t="b">
        <v>1</v>
      </c>
      <c r="F52" t="n">
        <v>0.6246</v>
      </c>
    </row>
    <row r="53">
      <c r="A53" t="n">
        <v>0.75</v>
      </c>
      <c r="B53" t="inlineStr">
        <is>
          <t>ABDURRAHMANGAZI</t>
        </is>
      </c>
      <c r="C53" t="n">
        <v>34.5</v>
      </c>
      <c r="D53" t="n">
        <v>1</v>
      </c>
      <c r="E53" t="b">
        <v>1</v>
      </c>
      <c r="F53" t="n">
        <v>0.875</v>
      </c>
    </row>
    <row r="54">
      <c r="A54" t="n">
        <v>0.75</v>
      </c>
      <c r="B54" t="inlineStr">
        <is>
          <t>ADIL</t>
        </is>
      </c>
      <c r="C54" t="n">
        <v>3.4</v>
      </c>
      <c r="D54" t="n">
        <v>0.09859999999999999</v>
      </c>
      <c r="E54" t="b">
        <v>0</v>
      </c>
      <c r="F54" t="n">
        <v>0.537</v>
      </c>
    </row>
    <row r="55">
      <c r="A55" t="n">
        <v>0.75</v>
      </c>
      <c r="B55" t="inlineStr">
        <is>
          <t>AHMET YESEVI</t>
        </is>
      </c>
      <c r="C55" t="n">
        <v>19.8</v>
      </c>
      <c r="D55" t="n">
        <v>0.5739</v>
      </c>
      <c r="E55" t="b">
        <v>1</v>
      </c>
      <c r="F55" t="n">
        <v>0.7151999999999999</v>
      </c>
    </row>
    <row r="56">
      <c r="A56" t="n">
        <v>0.75</v>
      </c>
      <c r="B56" t="inlineStr">
        <is>
          <t>AKSEMSETTIN</t>
        </is>
      </c>
      <c r="C56" t="n">
        <v>8.9</v>
      </c>
      <c r="D56" t="n">
        <v>0.258</v>
      </c>
      <c r="E56" t="b">
        <v>0</v>
      </c>
      <c r="F56" t="n">
        <v>0.5967</v>
      </c>
    </row>
    <row r="57">
      <c r="A57" t="n">
        <v>0.75</v>
      </c>
      <c r="B57" t="inlineStr">
        <is>
          <t>BATTALGAZI</t>
        </is>
      </c>
      <c r="C57" t="n">
        <v>18.4</v>
      </c>
      <c r="D57" t="n">
        <v>0.5333</v>
      </c>
      <c r="E57" t="b">
        <v>1</v>
      </c>
      <c r="F57" t="n">
        <v>0.7</v>
      </c>
    </row>
    <row r="58">
      <c r="A58" t="n">
        <v>0.75</v>
      </c>
      <c r="B58" t="inlineStr">
        <is>
          <t>FATIH</t>
        </is>
      </c>
      <c r="C58" t="n">
        <v>17</v>
      </c>
      <c r="D58" t="n">
        <v>0.4928</v>
      </c>
      <c r="E58" t="b">
        <v>1</v>
      </c>
      <c r="F58" t="n">
        <v>0.6848</v>
      </c>
    </row>
    <row r="59">
      <c r="A59" t="n">
        <v>0.75</v>
      </c>
      <c r="B59" t="inlineStr">
        <is>
          <t>HAMIDIYE</t>
        </is>
      </c>
      <c r="C59" t="n">
        <v>32.7</v>
      </c>
      <c r="D59" t="n">
        <v>0.9478</v>
      </c>
      <c r="E59" t="b">
        <v>1</v>
      </c>
      <c r="F59" t="n">
        <v>0.8554</v>
      </c>
    </row>
    <row r="60">
      <c r="A60" t="n">
        <v>0.75</v>
      </c>
      <c r="B60" t="inlineStr">
        <is>
          <t>HASANPASA</t>
        </is>
      </c>
      <c r="C60" t="n">
        <v>15.1</v>
      </c>
      <c r="D60" t="n">
        <v>0.4377</v>
      </c>
      <c r="E60" t="b">
        <v>1</v>
      </c>
      <c r="F60" t="n">
        <v>0.6641</v>
      </c>
    </row>
    <row r="61">
      <c r="A61" t="n">
        <v>0.75</v>
      </c>
      <c r="B61" t="inlineStr">
        <is>
          <t>MECIDIYE</t>
        </is>
      </c>
      <c r="C61" t="n">
        <v>15.5</v>
      </c>
      <c r="D61" t="n">
        <v>0.4493</v>
      </c>
      <c r="E61" t="b">
        <v>1</v>
      </c>
      <c r="F61" t="n">
        <v>0.6685</v>
      </c>
    </row>
    <row r="62">
      <c r="A62" t="n">
        <v>0.75</v>
      </c>
      <c r="B62" t="inlineStr">
        <is>
          <t>MEHMET AKIF</t>
        </is>
      </c>
      <c r="C62" t="n">
        <v>31</v>
      </c>
      <c r="D62" t="n">
        <v>0.8986</v>
      </c>
      <c r="E62" t="b">
        <v>1</v>
      </c>
      <c r="F62" t="n">
        <v>0.837</v>
      </c>
    </row>
    <row r="63">
      <c r="A63" t="n">
        <v>0.75</v>
      </c>
      <c r="B63" t="inlineStr">
        <is>
          <t>MIMAR SINAN</t>
        </is>
      </c>
      <c r="C63" t="n">
        <v>3.9</v>
      </c>
      <c r="D63" t="n">
        <v>0.113</v>
      </c>
      <c r="E63" t="b">
        <v>0</v>
      </c>
      <c r="F63" t="n">
        <v>0.5424</v>
      </c>
    </row>
    <row r="64">
      <c r="A64" t="n">
        <v>0.75</v>
      </c>
      <c r="B64" t="inlineStr">
        <is>
          <t>NECIP FAZIL</t>
        </is>
      </c>
      <c r="C64" t="n">
        <v>17.6</v>
      </c>
      <c r="D64" t="n">
        <v>0.5101</v>
      </c>
      <c r="E64" t="b">
        <v>1</v>
      </c>
      <c r="F64" t="n">
        <v>0.6913</v>
      </c>
    </row>
    <row r="65">
      <c r="A65" t="n">
        <v>0.75</v>
      </c>
      <c r="B65" t="inlineStr">
        <is>
          <t>ORHANGAZI</t>
        </is>
      </c>
      <c r="C65" t="n">
        <v>19.5</v>
      </c>
      <c r="D65" t="n">
        <v>0.5652</v>
      </c>
      <c r="E65" t="b">
        <v>1</v>
      </c>
      <c r="F65" t="n">
        <v>0.712</v>
      </c>
    </row>
    <row r="66">
      <c r="A66" t="n">
        <v>0.75</v>
      </c>
      <c r="B66" t="inlineStr">
        <is>
          <t>SALGAMLI DEVLET ORMANI</t>
        </is>
      </c>
      <c r="C66" t="n">
        <v>0</v>
      </c>
      <c r="D66" t="n">
        <v>0</v>
      </c>
      <c r="E66" t="b">
        <v>0</v>
      </c>
      <c r="F66" t="n">
        <v>0.5</v>
      </c>
    </row>
    <row r="67">
      <c r="A67" t="n">
        <v>0.75</v>
      </c>
      <c r="B67" t="inlineStr">
        <is>
          <t>TEFERRUC TEPE ORMANI</t>
        </is>
      </c>
      <c r="C67" t="n">
        <v>0</v>
      </c>
      <c r="D67" t="n">
        <v>0</v>
      </c>
      <c r="E67" t="b">
        <v>0</v>
      </c>
      <c r="F67" t="n">
        <v>0.5</v>
      </c>
    </row>
    <row r="68">
      <c r="A68" t="n">
        <v>0.75</v>
      </c>
      <c r="B68" t="inlineStr">
        <is>
          <t>TURGUT REIS</t>
        </is>
      </c>
      <c r="C68" t="n">
        <v>6.9</v>
      </c>
      <c r="D68" t="n">
        <v>0.2</v>
      </c>
      <c r="E68" t="b">
        <v>0</v>
      </c>
      <c r="F68" t="n">
        <v>0.575</v>
      </c>
    </row>
    <row r="69">
      <c r="A69" t="n">
        <v>0.75</v>
      </c>
      <c r="B69" t="inlineStr">
        <is>
          <t>YAVUZ SELIM</t>
        </is>
      </c>
      <c r="C69" t="n">
        <v>17.2</v>
      </c>
      <c r="D69" t="n">
        <v>0.4986</v>
      </c>
      <c r="E69" t="b">
        <v>1</v>
      </c>
      <c r="F69" t="n">
        <v>0.6870000000000001</v>
      </c>
    </row>
    <row r="70">
      <c r="A70" t="n">
        <v>1</v>
      </c>
      <c r="B70" t="inlineStr">
        <is>
          <t>ABDURRAHMANGAZI</t>
        </is>
      </c>
      <c r="C70" t="n">
        <v>34.5</v>
      </c>
      <c r="D70" t="n">
        <v>1</v>
      </c>
      <c r="E70" t="b">
        <v>1</v>
      </c>
      <c r="F70" t="n">
        <v>1</v>
      </c>
    </row>
    <row r="71">
      <c r="A71" t="n">
        <v>1</v>
      </c>
      <c r="B71" t="inlineStr">
        <is>
          <t>ADIL</t>
        </is>
      </c>
      <c r="C71" t="n">
        <v>3.4</v>
      </c>
      <c r="D71" t="n">
        <v>0.09859999999999999</v>
      </c>
      <c r="E71" t="b">
        <v>0</v>
      </c>
      <c r="F71" t="n">
        <v>0.5493</v>
      </c>
    </row>
    <row r="72">
      <c r="A72" t="n">
        <v>1</v>
      </c>
      <c r="B72" t="inlineStr">
        <is>
          <t>AHMET YESEVI</t>
        </is>
      </c>
      <c r="C72" t="n">
        <v>19.8</v>
      </c>
      <c r="D72" t="n">
        <v>0.5739</v>
      </c>
      <c r="E72" t="b">
        <v>1</v>
      </c>
      <c r="F72" t="n">
        <v>0.787</v>
      </c>
    </row>
    <row r="73">
      <c r="A73" t="n">
        <v>1</v>
      </c>
      <c r="B73" t="inlineStr">
        <is>
          <t>AKSEMSETTIN</t>
        </is>
      </c>
      <c r="C73" t="n">
        <v>8.9</v>
      </c>
      <c r="D73" t="n">
        <v>0.258</v>
      </c>
      <c r="E73" t="b">
        <v>0</v>
      </c>
      <c r="F73" t="n">
        <v>0.629</v>
      </c>
    </row>
    <row r="74">
      <c r="A74" t="n">
        <v>1</v>
      </c>
      <c r="B74" t="inlineStr">
        <is>
          <t>BATTALGAZI</t>
        </is>
      </c>
      <c r="C74" t="n">
        <v>18.4</v>
      </c>
      <c r="D74" t="n">
        <v>0.5333</v>
      </c>
      <c r="E74" t="b">
        <v>1</v>
      </c>
      <c r="F74" t="n">
        <v>0.7667</v>
      </c>
    </row>
    <row r="75">
      <c r="A75" t="n">
        <v>1</v>
      </c>
      <c r="B75" t="inlineStr">
        <is>
          <t>FATIH</t>
        </is>
      </c>
      <c r="C75" t="n">
        <v>17</v>
      </c>
      <c r="D75" t="n">
        <v>0.4928</v>
      </c>
      <c r="E75" t="b">
        <v>1</v>
      </c>
      <c r="F75" t="n">
        <v>0.7464</v>
      </c>
    </row>
    <row r="76">
      <c r="A76" t="n">
        <v>1</v>
      </c>
      <c r="B76" t="inlineStr">
        <is>
          <t>HAMIDIYE</t>
        </is>
      </c>
      <c r="C76" t="n">
        <v>32.7</v>
      </c>
      <c r="D76" t="n">
        <v>0.9478</v>
      </c>
      <c r="E76" t="b">
        <v>1</v>
      </c>
      <c r="F76" t="n">
        <v>0.9739</v>
      </c>
    </row>
    <row r="77">
      <c r="A77" t="n">
        <v>1</v>
      </c>
      <c r="B77" t="inlineStr">
        <is>
          <t>HASANPASA</t>
        </is>
      </c>
      <c r="C77" t="n">
        <v>15.1</v>
      </c>
      <c r="D77" t="n">
        <v>0.4377</v>
      </c>
      <c r="E77" t="b">
        <v>1</v>
      </c>
      <c r="F77" t="n">
        <v>0.7188</v>
      </c>
    </row>
    <row r="78">
      <c r="A78" t="n">
        <v>1</v>
      </c>
      <c r="B78" t="inlineStr">
        <is>
          <t>MECIDIYE</t>
        </is>
      </c>
      <c r="C78" t="n">
        <v>15.5</v>
      </c>
      <c r="D78" t="n">
        <v>0.4493</v>
      </c>
      <c r="E78" t="b">
        <v>1</v>
      </c>
      <c r="F78" t="n">
        <v>0.7246</v>
      </c>
    </row>
    <row r="79">
      <c r="A79" t="n">
        <v>1</v>
      </c>
      <c r="B79" t="inlineStr">
        <is>
          <t>MEHMET AKIF</t>
        </is>
      </c>
      <c r="C79" t="n">
        <v>31</v>
      </c>
      <c r="D79" t="n">
        <v>0.8986</v>
      </c>
      <c r="E79" t="b">
        <v>1</v>
      </c>
      <c r="F79" t="n">
        <v>0.9493</v>
      </c>
    </row>
    <row r="80">
      <c r="A80" t="n">
        <v>1</v>
      </c>
      <c r="B80" t="inlineStr">
        <is>
          <t>MIMAR SINAN</t>
        </is>
      </c>
      <c r="C80" t="n">
        <v>3.9</v>
      </c>
      <c r="D80" t="n">
        <v>0.113</v>
      </c>
      <c r="E80" t="b">
        <v>0</v>
      </c>
      <c r="F80" t="n">
        <v>0.5565</v>
      </c>
    </row>
    <row r="81">
      <c r="A81" t="n">
        <v>1</v>
      </c>
      <c r="B81" t="inlineStr">
        <is>
          <t>NECIP FAZIL</t>
        </is>
      </c>
      <c r="C81" t="n">
        <v>17.6</v>
      </c>
      <c r="D81" t="n">
        <v>0.5101</v>
      </c>
      <c r="E81" t="b">
        <v>1</v>
      </c>
      <c r="F81" t="n">
        <v>0.7551</v>
      </c>
    </row>
    <row r="82">
      <c r="A82" t="n">
        <v>1</v>
      </c>
      <c r="B82" t="inlineStr">
        <is>
          <t>ORHANGAZI</t>
        </is>
      </c>
      <c r="C82" t="n">
        <v>19.5</v>
      </c>
      <c r="D82" t="n">
        <v>0.5652</v>
      </c>
      <c r="E82" t="b">
        <v>1</v>
      </c>
      <c r="F82" t="n">
        <v>0.7826</v>
      </c>
    </row>
    <row r="83">
      <c r="A83" t="n">
        <v>1</v>
      </c>
      <c r="B83" t="inlineStr">
        <is>
          <t>SALGAMLI DEVLET ORMANI</t>
        </is>
      </c>
      <c r="C83" t="n">
        <v>0</v>
      </c>
      <c r="D83" t="n">
        <v>0</v>
      </c>
      <c r="E83" t="b">
        <v>0</v>
      </c>
      <c r="F83" t="n">
        <v>0.5</v>
      </c>
    </row>
    <row r="84">
      <c r="A84" t="n">
        <v>1</v>
      </c>
      <c r="B84" t="inlineStr">
        <is>
          <t>TEFERRUC TEPE ORMANI</t>
        </is>
      </c>
      <c r="C84" t="n">
        <v>0</v>
      </c>
      <c r="D84" t="n">
        <v>0</v>
      </c>
      <c r="E84" t="b">
        <v>0</v>
      </c>
      <c r="F84" t="n">
        <v>0.5</v>
      </c>
    </row>
    <row r="85">
      <c r="A85" t="n">
        <v>1</v>
      </c>
      <c r="B85" t="inlineStr">
        <is>
          <t>TURGUT REIS</t>
        </is>
      </c>
      <c r="C85" t="n">
        <v>6.9</v>
      </c>
      <c r="D85" t="n">
        <v>0.2</v>
      </c>
      <c r="E85" t="b">
        <v>0</v>
      </c>
      <c r="F85" t="n">
        <v>0.6</v>
      </c>
    </row>
    <row r="86">
      <c r="A86" t="n">
        <v>1</v>
      </c>
      <c r="B86" t="inlineStr">
        <is>
          <t>YAVUZ SELIM</t>
        </is>
      </c>
      <c r="C86" t="n">
        <v>17.2</v>
      </c>
      <c r="D86" t="n">
        <v>0.4986</v>
      </c>
      <c r="E86" t="b">
        <v>1</v>
      </c>
      <c r="F86" t="n">
        <v>0.7493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9" customWidth="1" min="4" max="4"/>
    <col width="12" customWidth="1" min="5" max="5"/>
    <col width="19" customWidth="1" min="6" max="6"/>
    <col width="19" customWidth="1" min="7" max="7"/>
    <col width="20" customWidth="1" min="8" max="8"/>
  </cols>
  <sheetData>
    <row r="1">
      <c r="A1" s="3" t="inlineStr">
        <is>
          <t>use_mevcut</t>
        </is>
      </c>
      <c r="B1" s="3" t="inlineStr">
        <is>
          <t>gamma</t>
        </is>
      </c>
      <c r="C1" s="3" t="inlineStr">
        <is>
          <t>status</t>
        </is>
      </c>
      <c r="D1" s="3" t="inlineStr">
        <is>
          <t>Z</t>
        </is>
      </c>
      <c r="E1" s="3" t="inlineStr">
        <is>
          <t>n_selected</t>
        </is>
      </c>
      <c r="F1" s="3" t="inlineStr">
        <is>
          <t>sum_coverage</t>
        </is>
      </c>
      <c r="G1" s="3" t="inlineStr">
        <is>
          <t>sum_RxC</t>
        </is>
      </c>
      <c r="H1" s="3" t="inlineStr">
        <is>
          <t>spearman_rho</t>
        </is>
      </c>
    </row>
    <row r="2">
      <c r="A2" t="b">
        <v>1</v>
      </c>
      <c r="B2" t="n">
        <v>0</v>
      </c>
      <c r="C2" t="inlineStr">
        <is>
          <t>Optimal</t>
        </is>
      </c>
      <c r="D2" t="n">
        <v>935.621364672892</v>
      </c>
      <c r="E2" t="n">
        <v>8</v>
      </c>
      <c r="F2" t="n">
        <v>45.5401375237135</v>
      </c>
      <c r="G2" t="n">
        <v>935.6213646728922</v>
      </c>
      <c r="H2" t="n">
        <v>0.6714285714285713</v>
      </c>
    </row>
    <row r="3">
      <c r="A3" t="b">
        <v>1</v>
      </c>
      <c r="B3" t="n">
        <v>0.25</v>
      </c>
      <c r="C3" t="inlineStr">
        <is>
          <t>Optimal</t>
        </is>
      </c>
      <c r="D3" t="n">
        <v>935.621364672892</v>
      </c>
      <c r="E3" t="n">
        <v>8</v>
      </c>
      <c r="F3" t="n">
        <v>45.5401375237135</v>
      </c>
      <c r="G3" t="n">
        <v>935.6213646728922</v>
      </c>
      <c r="H3" t="n">
        <v>0.6714285714285713</v>
      </c>
    </row>
    <row r="4">
      <c r="A4" t="b">
        <v>1</v>
      </c>
      <c r="B4" t="n">
        <v>0.5</v>
      </c>
      <c r="C4" t="inlineStr">
        <is>
          <t>Optimal</t>
        </is>
      </c>
      <c r="D4" t="n">
        <v>935.621364672892</v>
      </c>
      <c r="E4" t="n">
        <v>8</v>
      </c>
      <c r="F4" t="n">
        <v>45.5401375237135</v>
      </c>
      <c r="G4" t="n">
        <v>935.6213646728922</v>
      </c>
      <c r="H4" t="n">
        <v>0.6714285714285713</v>
      </c>
    </row>
    <row r="5">
      <c r="A5" t="b">
        <v>1</v>
      </c>
      <c r="B5" t="n">
        <v>0.75</v>
      </c>
      <c r="C5" t="inlineStr">
        <is>
          <t>Optimal</t>
        </is>
      </c>
      <c r="D5" t="n">
        <v>935.621364672892</v>
      </c>
      <c r="E5" t="n">
        <v>8</v>
      </c>
      <c r="F5" t="n">
        <v>45.5401375237135</v>
      </c>
      <c r="G5" t="n">
        <v>935.6213646728922</v>
      </c>
      <c r="H5" t="n">
        <v>0.6714285714285713</v>
      </c>
    </row>
    <row r="6">
      <c r="A6" t="b">
        <v>1</v>
      </c>
      <c r="B6" t="n">
        <v>1</v>
      </c>
      <c r="C6" t="inlineStr">
        <is>
          <t>Optimal</t>
        </is>
      </c>
      <c r="D6" t="n">
        <v>935.621364672892</v>
      </c>
      <c r="E6" t="n">
        <v>8</v>
      </c>
      <c r="F6" t="n">
        <v>45.5401375237135</v>
      </c>
      <c r="G6" t="n">
        <v>935.6213646728922</v>
      </c>
      <c r="H6" t="n">
        <v>0.6714285714285713</v>
      </c>
    </row>
    <row r="7">
      <c r="A7" t="b">
        <v>0</v>
      </c>
      <c r="B7" t="n">
        <v>0</v>
      </c>
      <c r="C7" t="inlineStr">
        <is>
          <t>Optimal</t>
        </is>
      </c>
      <c r="D7" t="n">
        <v>472.1306345154283</v>
      </c>
      <c r="E7" t="n">
        <v>8</v>
      </c>
      <c r="F7" t="n">
        <v>21.14680538015932</v>
      </c>
      <c r="G7" t="n">
        <v>472.1306345154284</v>
      </c>
      <c r="H7" t="n">
        <v>0.7142857142857142</v>
      </c>
    </row>
    <row r="8">
      <c r="A8" t="b">
        <v>0</v>
      </c>
      <c r="B8" t="n">
        <v>0.25</v>
      </c>
      <c r="C8" t="inlineStr">
        <is>
          <t>Optimal</t>
        </is>
      </c>
      <c r="D8" t="n">
        <v>472.1306345154283</v>
      </c>
      <c r="E8" t="n">
        <v>8</v>
      </c>
      <c r="F8" t="n">
        <v>21.14680538015932</v>
      </c>
      <c r="G8" t="n">
        <v>472.1306345154284</v>
      </c>
      <c r="H8" t="n">
        <v>0.7142857142857142</v>
      </c>
    </row>
    <row r="9">
      <c r="A9" t="b">
        <v>0</v>
      </c>
      <c r="B9" t="n">
        <v>0.5</v>
      </c>
      <c r="C9" t="inlineStr">
        <is>
          <t>Optimal</t>
        </is>
      </c>
      <c r="D9" t="n">
        <v>471.2203446365231</v>
      </c>
      <c r="E9" t="n">
        <v>8</v>
      </c>
      <c r="F9" t="n">
        <v>21.18330302343442</v>
      </c>
      <c r="G9" t="n">
        <v>471.2203446365231</v>
      </c>
      <c r="H9" t="n">
        <v>0.6714285714285713</v>
      </c>
    </row>
    <row r="10">
      <c r="A10" t="b">
        <v>0</v>
      </c>
      <c r="B10" t="n">
        <v>0.75</v>
      </c>
      <c r="C10" t="inlineStr">
        <is>
          <t>Optimal</t>
        </is>
      </c>
      <c r="D10" t="n">
        <v>471.2203446365231</v>
      </c>
      <c r="E10" t="n">
        <v>8</v>
      </c>
      <c r="F10" t="n">
        <v>21.18330302343442</v>
      </c>
      <c r="G10" t="n">
        <v>471.2203446365231</v>
      </c>
      <c r="H10" t="n">
        <v>0.6714285714285713</v>
      </c>
    </row>
    <row r="11">
      <c r="A11" t="b">
        <v>0</v>
      </c>
      <c r="B11" t="n">
        <v>1</v>
      </c>
      <c r="C11" t="inlineStr">
        <is>
          <t>Optimal</t>
        </is>
      </c>
      <c r="D11" t="n">
        <v>465.7631804861149</v>
      </c>
      <c r="E11" t="n">
        <v>8</v>
      </c>
      <c r="F11" t="n">
        <v>21.11842435900901</v>
      </c>
      <c r="G11" t="n">
        <v>465.7631804861149</v>
      </c>
      <c r="H11" t="n">
        <v>0.7107142857142856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8" customWidth="1" min="4" max="4"/>
    <col width="13" customWidth="1" min="5" max="5"/>
    <col width="20" customWidth="1" min="6" max="6"/>
    <col width="21" customWidth="1" min="7" max="7"/>
    <col width="10" customWidth="1" min="8" max="8"/>
    <col width="20" customWidth="1" min="9" max="9"/>
  </cols>
  <sheetData>
    <row r="1">
      <c r="A1" s="3" t="inlineStr">
        <is>
          <t>use_mevcut</t>
        </is>
      </c>
      <c r="B1" s="3" t="inlineStr">
        <is>
          <t>gamma</t>
        </is>
      </c>
      <c r="C1" s="3" t="inlineStr">
        <is>
          <t>mahalle</t>
        </is>
      </c>
      <c r="D1" s="3" t="inlineStr">
        <is>
          <t>R_risk</t>
        </is>
      </c>
      <c r="E1" s="3" t="inlineStr">
        <is>
          <t>is_critical</t>
        </is>
      </c>
      <c r="F1" s="3" t="inlineStr">
        <is>
          <t>L_i_proportional</t>
        </is>
      </c>
      <c r="G1" s="3" t="inlineStr">
        <is>
          <t>coverage</t>
        </is>
      </c>
      <c r="H1" s="3" t="inlineStr">
        <is>
          <t>gap_to_L</t>
        </is>
      </c>
      <c r="I1" s="3" t="inlineStr">
        <is>
          <t>R_x_C</t>
        </is>
      </c>
    </row>
    <row r="2">
      <c r="A2" t="b">
        <v>1</v>
      </c>
      <c r="B2" t="n">
        <v>0</v>
      </c>
      <c r="C2" t="inlineStr">
        <is>
          <t>ABDURRAHMANGAZI</t>
        </is>
      </c>
      <c r="D2" t="n">
        <v>34.5</v>
      </c>
      <c r="E2" t="b">
        <v>1</v>
      </c>
      <c r="F2" t="n">
        <v>0.5</v>
      </c>
      <c r="G2" t="n">
        <v>3.904454475601347</v>
      </c>
      <c r="H2" t="n">
        <v>0</v>
      </c>
      <c r="I2" t="n">
        <v>134.7036794082465</v>
      </c>
    </row>
    <row r="3">
      <c r="A3" t="b">
        <v>1</v>
      </c>
      <c r="B3" t="n">
        <v>0</v>
      </c>
      <c r="C3" t="inlineStr">
        <is>
          <t>ADIL</t>
        </is>
      </c>
      <c r="D3" t="n">
        <v>3.4</v>
      </c>
      <c r="E3" t="b">
        <v>0</v>
      </c>
      <c r="F3" t="n">
        <v>0</v>
      </c>
      <c r="G3" t="n">
        <v>1.194788063998196</v>
      </c>
      <c r="H3" t="n">
        <v>0</v>
      </c>
      <c r="I3" t="n">
        <v>4.062279417593866</v>
      </c>
    </row>
    <row r="4">
      <c r="A4" t="b">
        <v>1</v>
      </c>
      <c r="B4" t="n">
        <v>0</v>
      </c>
      <c r="C4" t="inlineStr">
        <is>
          <t>AHMET YESEVI</t>
        </is>
      </c>
      <c r="D4" t="n">
        <v>19.8</v>
      </c>
      <c r="E4" t="b">
        <v>1</v>
      </c>
      <c r="F4" t="n">
        <v>0.5</v>
      </c>
      <c r="G4" t="n">
        <v>2.560570671301512</v>
      </c>
      <c r="H4" t="n">
        <v>0</v>
      </c>
      <c r="I4" t="n">
        <v>50.69929929176993</v>
      </c>
    </row>
    <row r="5">
      <c r="A5" t="b">
        <v>1</v>
      </c>
      <c r="B5" t="n">
        <v>0</v>
      </c>
      <c r="C5" t="inlineStr">
        <is>
          <t>AKSEMSETTIN</t>
        </is>
      </c>
      <c r="D5" t="n">
        <v>8.9</v>
      </c>
      <c r="E5" t="b">
        <v>0</v>
      </c>
      <c r="F5" t="n">
        <v>0</v>
      </c>
      <c r="G5" t="n">
        <v>2.943588561709431</v>
      </c>
      <c r="H5" t="n">
        <v>0</v>
      </c>
      <c r="I5" t="n">
        <v>26.19793819921394</v>
      </c>
    </row>
    <row r="6">
      <c r="A6" t="b">
        <v>1</v>
      </c>
      <c r="B6" t="n">
        <v>0</v>
      </c>
      <c r="C6" t="inlineStr">
        <is>
          <t>BATTALGAZI</t>
        </is>
      </c>
      <c r="D6" t="n">
        <v>18.4</v>
      </c>
      <c r="E6" t="b">
        <v>1</v>
      </c>
      <c r="F6" t="n">
        <v>0.5</v>
      </c>
      <c r="G6" t="n">
        <v>1.798238320516633</v>
      </c>
      <c r="H6" t="n">
        <v>0</v>
      </c>
      <c r="I6" t="n">
        <v>33.08758509750604</v>
      </c>
    </row>
    <row r="7">
      <c r="A7" t="b">
        <v>1</v>
      </c>
      <c r="B7" t="n">
        <v>0</v>
      </c>
      <c r="C7" t="inlineStr">
        <is>
          <t>FATIH</t>
        </is>
      </c>
      <c r="D7" t="n">
        <v>17</v>
      </c>
      <c r="E7" t="b">
        <v>1</v>
      </c>
      <c r="F7" t="n">
        <v>0.5</v>
      </c>
      <c r="G7" t="n">
        <v>4.77307465623232</v>
      </c>
      <c r="H7" t="n">
        <v>0</v>
      </c>
      <c r="I7" t="n">
        <v>81.14226915594945</v>
      </c>
    </row>
    <row r="8">
      <c r="A8" t="b">
        <v>1</v>
      </c>
      <c r="B8" t="n">
        <v>0</v>
      </c>
      <c r="C8" t="inlineStr">
        <is>
          <t>HAMIDIYE</t>
        </is>
      </c>
      <c r="D8" t="n">
        <v>32.7</v>
      </c>
      <c r="E8" t="b">
        <v>1</v>
      </c>
      <c r="F8" t="n">
        <v>0.5</v>
      </c>
      <c r="G8" t="n">
        <v>5.656655318957968</v>
      </c>
      <c r="H8" t="n">
        <v>0</v>
      </c>
      <c r="I8" t="n">
        <v>184.9726289299256</v>
      </c>
    </row>
    <row r="9">
      <c r="A9" t="b">
        <v>1</v>
      </c>
      <c r="B9" t="n">
        <v>0</v>
      </c>
      <c r="C9" t="inlineStr">
        <is>
          <t>HASANPASA</t>
        </is>
      </c>
      <c r="D9" t="n">
        <v>15.1</v>
      </c>
      <c r="E9" t="b">
        <v>1</v>
      </c>
      <c r="F9" t="n">
        <v>0.5</v>
      </c>
      <c r="G9" t="n">
        <v>2.453552970388877</v>
      </c>
      <c r="H9" t="n">
        <v>0</v>
      </c>
      <c r="I9" t="n">
        <v>37.04864985287203</v>
      </c>
    </row>
    <row r="10">
      <c r="A10" t="b">
        <v>1</v>
      </c>
      <c r="B10" t="n">
        <v>0</v>
      </c>
      <c r="C10" t="inlineStr">
        <is>
          <t>MECIDIYE</t>
        </is>
      </c>
      <c r="D10" t="n">
        <v>15.5</v>
      </c>
      <c r="E10" t="b">
        <v>1</v>
      </c>
      <c r="F10" t="n">
        <v>0.5</v>
      </c>
      <c r="G10" t="n">
        <v>1.898112802589436</v>
      </c>
      <c r="H10" t="n">
        <v>0</v>
      </c>
      <c r="I10" t="n">
        <v>29.42074844013625</v>
      </c>
    </row>
    <row r="11">
      <c r="A11" t="b">
        <v>1</v>
      </c>
      <c r="B11" t="n">
        <v>0</v>
      </c>
      <c r="C11" t="inlineStr">
        <is>
          <t>MEHMET AKIF</t>
        </is>
      </c>
      <c r="D11" t="n">
        <v>31</v>
      </c>
      <c r="E11" t="b">
        <v>1</v>
      </c>
      <c r="F11" t="n">
        <v>0.5</v>
      </c>
      <c r="G11" t="n">
        <v>4.777341892473296</v>
      </c>
      <c r="H11" t="n">
        <v>0</v>
      </c>
      <c r="I11" t="n">
        <v>148.0975986666722</v>
      </c>
    </row>
    <row r="12">
      <c r="A12" t="b">
        <v>1</v>
      </c>
      <c r="B12" t="n">
        <v>0</v>
      </c>
      <c r="C12" t="inlineStr">
        <is>
          <t>MIMAR SINAN</t>
        </is>
      </c>
      <c r="D12" t="n">
        <v>3.9</v>
      </c>
      <c r="E12" t="b">
        <v>0</v>
      </c>
      <c r="F12" t="n">
        <v>0</v>
      </c>
      <c r="G12" t="n">
        <v>1.126734215804789</v>
      </c>
      <c r="H12" t="n">
        <v>0</v>
      </c>
      <c r="I12" t="n">
        <v>4.394263441638678</v>
      </c>
    </row>
    <row r="13">
      <c r="A13" t="b">
        <v>1</v>
      </c>
      <c r="B13" t="n">
        <v>0</v>
      </c>
      <c r="C13" t="inlineStr">
        <is>
          <t>NECIP FAZIL</t>
        </is>
      </c>
      <c r="D13" t="n">
        <v>17.6</v>
      </c>
      <c r="E13" t="b">
        <v>1</v>
      </c>
      <c r="F13" t="n">
        <v>0.5</v>
      </c>
      <c r="G13" t="n">
        <v>2.278440542374081</v>
      </c>
      <c r="H13" t="n">
        <v>0</v>
      </c>
      <c r="I13" t="n">
        <v>40.10055354578384</v>
      </c>
    </row>
    <row r="14">
      <c r="A14" t="b">
        <v>1</v>
      </c>
      <c r="B14" t="n">
        <v>0</v>
      </c>
      <c r="C14" t="inlineStr">
        <is>
          <t>ORHANGAZI</t>
        </is>
      </c>
      <c r="D14" t="n">
        <v>19.5</v>
      </c>
      <c r="E14" t="b">
        <v>1</v>
      </c>
      <c r="F14" t="n">
        <v>0.5</v>
      </c>
      <c r="G14" t="n">
        <v>3.864602030007885</v>
      </c>
      <c r="H14" t="n">
        <v>0</v>
      </c>
      <c r="I14" t="n">
        <v>75.35973958515375</v>
      </c>
    </row>
    <row r="15">
      <c r="A15" t="b">
        <v>1</v>
      </c>
      <c r="B15" t="n">
        <v>0</v>
      </c>
      <c r="C15" t="inlineStr">
        <is>
          <t>SALGAMLI DEVLET ORMANI</t>
        </is>
      </c>
      <c r="D15" t="n">
        <v>0</v>
      </c>
      <c r="E15" t="b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b">
        <v>1</v>
      </c>
      <c r="B16" t="n">
        <v>0</v>
      </c>
      <c r="C16" t="inlineStr">
        <is>
          <t>TEFERRUC TEPE ORMANI</t>
        </is>
      </c>
      <c r="D16" t="n">
        <v>0</v>
      </c>
      <c r="E16" t="b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b">
        <v>1</v>
      </c>
      <c r="B17" t="n">
        <v>0</v>
      </c>
      <c r="C17" t="inlineStr">
        <is>
          <t>TURGUT REIS</t>
        </is>
      </c>
      <c r="D17" t="n">
        <v>6.9</v>
      </c>
      <c r="E17" t="b">
        <v>0</v>
      </c>
      <c r="F17" t="n">
        <v>0</v>
      </c>
      <c r="G17" t="n">
        <v>2.155104465029413</v>
      </c>
      <c r="H17" t="n">
        <v>0</v>
      </c>
      <c r="I17" t="n">
        <v>14.87022080870295</v>
      </c>
    </row>
    <row r="18">
      <c r="A18" t="b">
        <v>1</v>
      </c>
      <c r="B18" t="n">
        <v>0</v>
      </c>
      <c r="C18" t="inlineStr">
        <is>
          <t>YAVUZ SELIM</t>
        </is>
      </c>
      <c r="D18" t="n">
        <v>17.2</v>
      </c>
      <c r="E18" t="b">
        <v>1</v>
      </c>
      <c r="F18" t="n">
        <v>0.5</v>
      </c>
      <c r="G18" t="n">
        <v>4.154878536728327</v>
      </c>
      <c r="H18" t="n">
        <v>0</v>
      </c>
      <c r="I18" t="n">
        <v>71.46391083172722</v>
      </c>
    </row>
    <row r="19">
      <c r="A19" t="b">
        <v>1</v>
      </c>
      <c r="B19" t="n">
        <v>0.25</v>
      </c>
      <c r="C19" t="inlineStr">
        <is>
          <t>ABDURRAHMANGAZI</t>
        </is>
      </c>
      <c r="D19" t="n">
        <v>34.5</v>
      </c>
      <c r="E19" t="b">
        <v>1</v>
      </c>
      <c r="F19" t="n">
        <v>0.625</v>
      </c>
      <c r="G19" t="n">
        <v>3.904454475601347</v>
      </c>
      <c r="H19" t="n">
        <v>0</v>
      </c>
      <c r="I19" t="n">
        <v>134.7036794082465</v>
      </c>
    </row>
    <row r="20">
      <c r="A20" t="b">
        <v>1</v>
      </c>
      <c r="B20" t="n">
        <v>0.25</v>
      </c>
      <c r="C20" t="inlineStr">
        <is>
          <t>ADIL</t>
        </is>
      </c>
      <c r="D20" t="n">
        <v>3.4</v>
      </c>
      <c r="E20" t="b">
        <v>0</v>
      </c>
      <c r="F20" t="n">
        <v>0</v>
      </c>
      <c r="G20" t="n">
        <v>1.194788063998196</v>
      </c>
      <c r="H20" t="n">
        <v>0</v>
      </c>
      <c r="I20" t="n">
        <v>4.062279417593866</v>
      </c>
    </row>
    <row r="21">
      <c r="A21" t="b">
        <v>1</v>
      </c>
      <c r="B21" t="n">
        <v>0.25</v>
      </c>
      <c r="C21" t="inlineStr">
        <is>
          <t>AHMET YESEVI</t>
        </is>
      </c>
      <c r="D21" t="n">
        <v>19.8</v>
      </c>
      <c r="E21" t="b">
        <v>1</v>
      </c>
      <c r="F21" t="n">
        <v>0.5717391304347826</v>
      </c>
      <c r="G21" t="n">
        <v>2.560570671301512</v>
      </c>
      <c r="H21" t="n">
        <v>0</v>
      </c>
      <c r="I21" t="n">
        <v>50.69929929176993</v>
      </c>
    </row>
    <row r="22">
      <c r="A22" t="b">
        <v>1</v>
      </c>
      <c r="B22" t="n">
        <v>0.25</v>
      </c>
      <c r="C22" t="inlineStr">
        <is>
          <t>AKSEMSETTIN</t>
        </is>
      </c>
      <c r="D22" t="n">
        <v>8.9</v>
      </c>
      <c r="E22" t="b">
        <v>0</v>
      </c>
      <c r="F22" t="n">
        <v>0</v>
      </c>
      <c r="G22" t="n">
        <v>2.943588561709431</v>
      </c>
      <c r="H22" t="n">
        <v>0</v>
      </c>
      <c r="I22" t="n">
        <v>26.19793819921394</v>
      </c>
    </row>
    <row r="23">
      <c r="A23" t="b">
        <v>1</v>
      </c>
      <c r="B23" t="n">
        <v>0.25</v>
      </c>
      <c r="C23" t="inlineStr">
        <is>
          <t>BATTALGAZI</t>
        </is>
      </c>
      <c r="D23" t="n">
        <v>18.4</v>
      </c>
      <c r="E23" t="b">
        <v>1</v>
      </c>
      <c r="F23" t="n">
        <v>0.5666666666666667</v>
      </c>
      <c r="G23" t="n">
        <v>1.798238320516633</v>
      </c>
      <c r="H23" t="n">
        <v>0</v>
      </c>
      <c r="I23" t="n">
        <v>33.08758509750604</v>
      </c>
    </row>
    <row r="24">
      <c r="A24" t="b">
        <v>1</v>
      </c>
      <c r="B24" t="n">
        <v>0.25</v>
      </c>
      <c r="C24" t="inlineStr">
        <is>
          <t>FATIH</t>
        </is>
      </c>
      <c r="D24" t="n">
        <v>17</v>
      </c>
      <c r="E24" t="b">
        <v>1</v>
      </c>
      <c r="F24" t="n">
        <v>0.5615942028985508</v>
      </c>
      <c r="G24" t="n">
        <v>4.77307465623232</v>
      </c>
      <c r="H24" t="n">
        <v>0</v>
      </c>
      <c r="I24" t="n">
        <v>81.14226915594945</v>
      </c>
    </row>
    <row r="25">
      <c r="A25" t="b">
        <v>1</v>
      </c>
      <c r="B25" t="n">
        <v>0.25</v>
      </c>
      <c r="C25" t="inlineStr">
        <is>
          <t>HAMIDIYE</t>
        </is>
      </c>
      <c r="D25" t="n">
        <v>32.7</v>
      </c>
      <c r="E25" t="b">
        <v>1</v>
      </c>
      <c r="F25" t="n">
        <v>0.6184782608695653</v>
      </c>
      <c r="G25" t="n">
        <v>5.656655318957968</v>
      </c>
      <c r="H25" t="n">
        <v>0</v>
      </c>
      <c r="I25" t="n">
        <v>184.9726289299256</v>
      </c>
    </row>
    <row r="26">
      <c r="A26" t="b">
        <v>1</v>
      </c>
      <c r="B26" t="n">
        <v>0.25</v>
      </c>
      <c r="C26" t="inlineStr">
        <is>
          <t>HASANPASA</t>
        </is>
      </c>
      <c r="D26" t="n">
        <v>15.1</v>
      </c>
      <c r="E26" t="b">
        <v>1</v>
      </c>
      <c r="F26" t="n">
        <v>0.5547101449275362</v>
      </c>
      <c r="G26" t="n">
        <v>2.453552970388877</v>
      </c>
      <c r="H26" t="n">
        <v>0</v>
      </c>
      <c r="I26" t="n">
        <v>37.04864985287203</v>
      </c>
    </row>
    <row r="27">
      <c r="A27" t="b">
        <v>1</v>
      </c>
      <c r="B27" t="n">
        <v>0.25</v>
      </c>
      <c r="C27" t="inlineStr">
        <is>
          <t>MECIDIYE</t>
        </is>
      </c>
      <c r="D27" t="n">
        <v>15.5</v>
      </c>
      <c r="E27" t="b">
        <v>1</v>
      </c>
      <c r="F27" t="n">
        <v>0.5561594202898551</v>
      </c>
      <c r="G27" t="n">
        <v>1.898112802589436</v>
      </c>
      <c r="H27" t="n">
        <v>0</v>
      </c>
      <c r="I27" t="n">
        <v>29.42074844013625</v>
      </c>
    </row>
    <row r="28">
      <c r="A28" t="b">
        <v>1</v>
      </c>
      <c r="B28" t="n">
        <v>0.25</v>
      </c>
      <c r="C28" t="inlineStr">
        <is>
          <t>MEHMET AKIF</t>
        </is>
      </c>
      <c r="D28" t="n">
        <v>31</v>
      </c>
      <c r="E28" t="b">
        <v>1</v>
      </c>
      <c r="F28" t="n">
        <v>0.6123188405797102</v>
      </c>
      <c r="G28" t="n">
        <v>4.777341892473296</v>
      </c>
      <c r="H28" t="n">
        <v>0</v>
      </c>
      <c r="I28" t="n">
        <v>148.0975986666722</v>
      </c>
    </row>
    <row r="29">
      <c r="A29" t="b">
        <v>1</v>
      </c>
      <c r="B29" t="n">
        <v>0.25</v>
      </c>
      <c r="C29" t="inlineStr">
        <is>
          <t>MIMAR SINAN</t>
        </is>
      </c>
      <c r="D29" t="n">
        <v>3.9</v>
      </c>
      <c r="E29" t="b">
        <v>0</v>
      </c>
      <c r="F29" t="n">
        <v>0</v>
      </c>
      <c r="G29" t="n">
        <v>1.126734215804789</v>
      </c>
      <c r="H29" t="n">
        <v>0</v>
      </c>
      <c r="I29" t="n">
        <v>4.394263441638678</v>
      </c>
    </row>
    <row r="30">
      <c r="A30" t="b">
        <v>1</v>
      </c>
      <c r="B30" t="n">
        <v>0.25</v>
      </c>
      <c r="C30" t="inlineStr">
        <is>
          <t>NECIP FAZIL</t>
        </is>
      </c>
      <c r="D30" t="n">
        <v>17.6</v>
      </c>
      <c r="E30" t="b">
        <v>1</v>
      </c>
      <c r="F30" t="n">
        <v>0.563768115942029</v>
      </c>
      <c r="G30" t="n">
        <v>2.278440542374081</v>
      </c>
      <c r="H30" t="n">
        <v>0</v>
      </c>
      <c r="I30" t="n">
        <v>40.10055354578384</v>
      </c>
    </row>
    <row r="31">
      <c r="A31" t="b">
        <v>1</v>
      </c>
      <c r="B31" t="n">
        <v>0.25</v>
      </c>
      <c r="C31" t="inlineStr">
        <is>
          <t>ORHANGAZI</t>
        </is>
      </c>
      <c r="D31" t="n">
        <v>19.5</v>
      </c>
      <c r="E31" t="b">
        <v>1</v>
      </c>
      <c r="F31" t="n">
        <v>0.5706521739130435</v>
      </c>
      <c r="G31" t="n">
        <v>3.864602030007885</v>
      </c>
      <c r="H31" t="n">
        <v>0</v>
      </c>
      <c r="I31" t="n">
        <v>75.35973958515375</v>
      </c>
    </row>
    <row r="32">
      <c r="A32" t="b">
        <v>1</v>
      </c>
      <c r="B32" t="n">
        <v>0.25</v>
      </c>
      <c r="C32" t="inlineStr">
        <is>
          <t>SALGAMLI DEVLET ORMANI</t>
        </is>
      </c>
      <c r="D32" t="n">
        <v>0</v>
      </c>
      <c r="E32" t="b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b">
        <v>1</v>
      </c>
      <c r="B33" t="n">
        <v>0.25</v>
      </c>
      <c r="C33" t="inlineStr">
        <is>
          <t>TEFERRUC TEPE ORMANI</t>
        </is>
      </c>
      <c r="D33" t="n">
        <v>0</v>
      </c>
      <c r="E33" t="b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b">
        <v>1</v>
      </c>
      <c r="B34" t="n">
        <v>0.25</v>
      </c>
      <c r="C34" t="inlineStr">
        <is>
          <t>TURGUT REIS</t>
        </is>
      </c>
      <c r="D34" t="n">
        <v>6.9</v>
      </c>
      <c r="E34" t="b">
        <v>0</v>
      </c>
      <c r="F34" t="n">
        <v>0</v>
      </c>
      <c r="G34" t="n">
        <v>2.155104465029413</v>
      </c>
      <c r="H34" t="n">
        <v>0</v>
      </c>
      <c r="I34" t="n">
        <v>14.87022080870295</v>
      </c>
    </row>
    <row r="35">
      <c r="A35" t="b">
        <v>1</v>
      </c>
      <c r="B35" t="n">
        <v>0.25</v>
      </c>
      <c r="C35" t="inlineStr">
        <is>
          <t>YAVUZ SELIM</t>
        </is>
      </c>
      <c r="D35" t="n">
        <v>17.2</v>
      </c>
      <c r="E35" t="b">
        <v>1</v>
      </c>
      <c r="F35" t="n">
        <v>0.5623188405797102</v>
      </c>
      <c r="G35" t="n">
        <v>4.154878536728327</v>
      </c>
      <c r="H35" t="n">
        <v>0</v>
      </c>
      <c r="I35" t="n">
        <v>71.46391083172722</v>
      </c>
    </row>
    <row r="36">
      <c r="A36" t="b">
        <v>1</v>
      </c>
      <c r="B36" t="n">
        <v>0.5</v>
      </c>
      <c r="C36" t="inlineStr">
        <is>
          <t>ABDURRAHMANGAZI</t>
        </is>
      </c>
      <c r="D36" t="n">
        <v>34.5</v>
      </c>
      <c r="E36" t="b">
        <v>1</v>
      </c>
      <c r="F36" t="n">
        <v>0.75</v>
      </c>
      <c r="G36" t="n">
        <v>3.904454475601347</v>
      </c>
      <c r="H36" t="n">
        <v>0</v>
      </c>
      <c r="I36" t="n">
        <v>134.7036794082465</v>
      </c>
    </row>
    <row r="37">
      <c r="A37" t="b">
        <v>1</v>
      </c>
      <c r="B37" t="n">
        <v>0.5</v>
      </c>
      <c r="C37" t="inlineStr">
        <is>
          <t>ADIL</t>
        </is>
      </c>
      <c r="D37" t="n">
        <v>3.4</v>
      </c>
      <c r="E37" t="b">
        <v>0</v>
      </c>
      <c r="F37" t="n">
        <v>0</v>
      </c>
      <c r="G37" t="n">
        <v>1.194788063998196</v>
      </c>
      <c r="H37" t="n">
        <v>0</v>
      </c>
      <c r="I37" t="n">
        <v>4.062279417593866</v>
      </c>
    </row>
    <row r="38">
      <c r="A38" t="b">
        <v>1</v>
      </c>
      <c r="B38" t="n">
        <v>0.5</v>
      </c>
      <c r="C38" t="inlineStr">
        <is>
          <t>AHMET YESEVI</t>
        </is>
      </c>
      <c r="D38" t="n">
        <v>19.8</v>
      </c>
      <c r="E38" t="b">
        <v>1</v>
      </c>
      <c r="F38" t="n">
        <v>0.6434782608695653</v>
      </c>
      <c r="G38" t="n">
        <v>2.560570671301512</v>
      </c>
      <c r="H38" t="n">
        <v>0</v>
      </c>
      <c r="I38" t="n">
        <v>50.69929929176993</v>
      </c>
    </row>
    <row r="39">
      <c r="A39" t="b">
        <v>1</v>
      </c>
      <c r="B39" t="n">
        <v>0.5</v>
      </c>
      <c r="C39" t="inlineStr">
        <is>
          <t>AKSEMSETTIN</t>
        </is>
      </c>
      <c r="D39" t="n">
        <v>8.9</v>
      </c>
      <c r="E39" t="b">
        <v>0</v>
      </c>
      <c r="F39" t="n">
        <v>0</v>
      </c>
      <c r="G39" t="n">
        <v>2.943588561709431</v>
      </c>
      <c r="H39" t="n">
        <v>0</v>
      </c>
      <c r="I39" t="n">
        <v>26.19793819921394</v>
      </c>
    </row>
    <row r="40">
      <c r="A40" t="b">
        <v>1</v>
      </c>
      <c r="B40" t="n">
        <v>0.5</v>
      </c>
      <c r="C40" t="inlineStr">
        <is>
          <t>BATTALGAZI</t>
        </is>
      </c>
      <c r="D40" t="n">
        <v>18.4</v>
      </c>
      <c r="E40" t="b">
        <v>1</v>
      </c>
      <c r="F40" t="n">
        <v>0.6333333333333333</v>
      </c>
      <c r="G40" t="n">
        <v>1.798238320516633</v>
      </c>
      <c r="H40" t="n">
        <v>0</v>
      </c>
      <c r="I40" t="n">
        <v>33.08758509750604</v>
      </c>
    </row>
    <row r="41">
      <c r="A41" t="b">
        <v>1</v>
      </c>
      <c r="B41" t="n">
        <v>0.5</v>
      </c>
      <c r="C41" t="inlineStr">
        <is>
          <t>FATIH</t>
        </is>
      </c>
      <c r="D41" t="n">
        <v>17</v>
      </c>
      <c r="E41" t="b">
        <v>1</v>
      </c>
      <c r="F41" t="n">
        <v>0.6231884057971014</v>
      </c>
      <c r="G41" t="n">
        <v>4.77307465623232</v>
      </c>
      <c r="H41" t="n">
        <v>0</v>
      </c>
      <c r="I41" t="n">
        <v>81.14226915594945</v>
      </c>
    </row>
    <row r="42">
      <c r="A42" t="b">
        <v>1</v>
      </c>
      <c r="B42" t="n">
        <v>0.5</v>
      </c>
      <c r="C42" t="inlineStr">
        <is>
          <t>HAMIDIYE</t>
        </is>
      </c>
      <c r="D42" t="n">
        <v>32.7</v>
      </c>
      <c r="E42" t="b">
        <v>1</v>
      </c>
      <c r="F42" t="n">
        <v>0.7369565217391305</v>
      </c>
      <c r="G42" t="n">
        <v>5.656655318957968</v>
      </c>
      <c r="H42" t="n">
        <v>0</v>
      </c>
      <c r="I42" t="n">
        <v>184.9726289299256</v>
      </c>
    </row>
    <row r="43">
      <c r="A43" t="b">
        <v>1</v>
      </c>
      <c r="B43" t="n">
        <v>0.5</v>
      </c>
      <c r="C43" t="inlineStr">
        <is>
          <t>HASANPASA</t>
        </is>
      </c>
      <c r="D43" t="n">
        <v>15.1</v>
      </c>
      <c r="E43" t="b">
        <v>1</v>
      </c>
      <c r="F43" t="n">
        <v>0.6094202898550725</v>
      </c>
      <c r="G43" t="n">
        <v>2.453552970388877</v>
      </c>
      <c r="H43" t="n">
        <v>0</v>
      </c>
      <c r="I43" t="n">
        <v>37.04864985287203</v>
      </c>
    </row>
    <row r="44">
      <c r="A44" t="b">
        <v>1</v>
      </c>
      <c r="B44" t="n">
        <v>0.5</v>
      </c>
      <c r="C44" t="inlineStr">
        <is>
          <t>MECIDIYE</t>
        </is>
      </c>
      <c r="D44" t="n">
        <v>15.5</v>
      </c>
      <c r="E44" t="b">
        <v>1</v>
      </c>
      <c r="F44" t="n">
        <v>0.6123188405797102</v>
      </c>
      <c r="G44" t="n">
        <v>1.898112802589436</v>
      </c>
      <c r="H44" t="n">
        <v>0</v>
      </c>
      <c r="I44" t="n">
        <v>29.42074844013625</v>
      </c>
    </row>
    <row r="45">
      <c r="A45" t="b">
        <v>1</v>
      </c>
      <c r="B45" t="n">
        <v>0.5</v>
      </c>
      <c r="C45" t="inlineStr">
        <is>
          <t>MEHMET AKIF</t>
        </is>
      </c>
      <c r="D45" t="n">
        <v>31</v>
      </c>
      <c r="E45" t="b">
        <v>1</v>
      </c>
      <c r="F45" t="n">
        <v>0.7246376811594203</v>
      </c>
      <c r="G45" t="n">
        <v>4.777341892473296</v>
      </c>
      <c r="H45" t="n">
        <v>0</v>
      </c>
      <c r="I45" t="n">
        <v>148.0975986666722</v>
      </c>
    </row>
    <row r="46">
      <c r="A46" t="b">
        <v>1</v>
      </c>
      <c r="B46" t="n">
        <v>0.5</v>
      </c>
      <c r="C46" t="inlineStr">
        <is>
          <t>MIMAR SINAN</t>
        </is>
      </c>
      <c r="D46" t="n">
        <v>3.9</v>
      </c>
      <c r="E46" t="b">
        <v>0</v>
      </c>
      <c r="F46" t="n">
        <v>0</v>
      </c>
      <c r="G46" t="n">
        <v>1.126734215804789</v>
      </c>
      <c r="H46" t="n">
        <v>0</v>
      </c>
      <c r="I46" t="n">
        <v>4.394263441638678</v>
      </c>
    </row>
    <row r="47">
      <c r="A47" t="b">
        <v>1</v>
      </c>
      <c r="B47" t="n">
        <v>0.5</v>
      </c>
      <c r="C47" t="inlineStr">
        <is>
          <t>NECIP FAZIL</t>
        </is>
      </c>
      <c r="D47" t="n">
        <v>17.6</v>
      </c>
      <c r="E47" t="b">
        <v>1</v>
      </c>
      <c r="F47" t="n">
        <v>0.627536231884058</v>
      </c>
      <c r="G47" t="n">
        <v>2.278440542374081</v>
      </c>
      <c r="H47" t="n">
        <v>0</v>
      </c>
      <c r="I47" t="n">
        <v>40.10055354578384</v>
      </c>
    </row>
    <row r="48">
      <c r="A48" t="b">
        <v>1</v>
      </c>
      <c r="B48" t="n">
        <v>0.5</v>
      </c>
      <c r="C48" t="inlineStr">
        <is>
          <t>ORHANGAZI</t>
        </is>
      </c>
      <c r="D48" t="n">
        <v>19.5</v>
      </c>
      <c r="E48" t="b">
        <v>1</v>
      </c>
      <c r="F48" t="n">
        <v>0.6413043478260869</v>
      </c>
      <c r="G48" t="n">
        <v>3.864602030007885</v>
      </c>
      <c r="H48" t="n">
        <v>0</v>
      </c>
      <c r="I48" t="n">
        <v>75.35973958515375</v>
      </c>
    </row>
    <row r="49">
      <c r="A49" t="b">
        <v>1</v>
      </c>
      <c r="B49" t="n">
        <v>0.5</v>
      </c>
      <c r="C49" t="inlineStr">
        <is>
          <t>SALGAMLI DEVLET ORMANI</t>
        </is>
      </c>
      <c r="D49" t="n">
        <v>0</v>
      </c>
      <c r="E49" t="b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b">
        <v>1</v>
      </c>
      <c r="B50" t="n">
        <v>0.5</v>
      </c>
      <c r="C50" t="inlineStr">
        <is>
          <t>TEFERRUC TEPE ORMANI</t>
        </is>
      </c>
      <c r="D50" t="n">
        <v>0</v>
      </c>
      <c r="E50" t="b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b">
        <v>1</v>
      </c>
      <c r="B51" t="n">
        <v>0.5</v>
      </c>
      <c r="C51" t="inlineStr">
        <is>
          <t>TURGUT REIS</t>
        </is>
      </c>
      <c r="D51" t="n">
        <v>6.9</v>
      </c>
      <c r="E51" t="b">
        <v>0</v>
      </c>
      <c r="F51" t="n">
        <v>0</v>
      </c>
      <c r="G51" t="n">
        <v>2.155104465029413</v>
      </c>
      <c r="H51" t="n">
        <v>0</v>
      </c>
      <c r="I51" t="n">
        <v>14.87022080870295</v>
      </c>
    </row>
    <row r="52">
      <c r="A52" t="b">
        <v>1</v>
      </c>
      <c r="B52" t="n">
        <v>0.5</v>
      </c>
      <c r="C52" t="inlineStr">
        <is>
          <t>YAVUZ SELIM</t>
        </is>
      </c>
      <c r="D52" t="n">
        <v>17.2</v>
      </c>
      <c r="E52" t="b">
        <v>1</v>
      </c>
      <c r="F52" t="n">
        <v>0.6246376811594203</v>
      </c>
      <c r="G52" t="n">
        <v>4.154878536728327</v>
      </c>
      <c r="H52" t="n">
        <v>0</v>
      </c>
      <c r="I52" t="n">
        <v>71.46391083172722</v>
      </c>
    </row>
    <row r="53">
      <c r="A53" t="b">
        <v>1</v>
      </c>
      <c r="B53" t="n">
        <v>0.75</v>
      </c>
      <c r="C53" t="inlineStr">
        <is>
          <t>ABDURRAHMANGAZI</t>
        </is>
      </c>
      <c r="D53" t="n">
        <v>34.5</v>
      </c>
      <c r="E53" t="b">
        <v>1</v>
      </c>
      <c r="F53" t="n">
        <v>0.875</v>
      </c>
      <c r="G53" t="n">
        <v>3.904454475601347</v>
      </c>
      <c r="H53" t="n">
        <v>0</v>
      </c>
      <c r="I53" t="n">
        <v>134.7036794082465</v>
      </c>
    </row>
    <row r="54">
      <c r="A54" t="b">
        <v>1</v>
      </c>
      <c r="B54" t="n">
        <v>0.75</v>
      </c>
      <c r="C54" t="inlineStr">
        <is>
          <t>ADIL</t>
        </is>
      </c>
      <c r="D54" t="n">
        <v>3.4</v>
      </c>
      <c r="E54" t="b">
        <v>0</v>
      </c>
      <c r="F54" t="n">
        <v>0</v>
      </c>
      <c r="G54" t="n">
        <v>1.194788063998196</v>
      </c>
      <c r="H54" t="n">
        <v>0</v>
      </c>
      <c r="I54" t="n">
        <v>4.062279417593866</v>
      </c>
    </row>
    <row r="55">
      <c r="A55" t="b">
        <v>1</v>
      </c>
      <c r="B55" t="n">
        <v>0.75</v>
      </c>
      <c r="C55" t="inlineStr">
        <is>
          <t>AHMET YESEVI</t>
        </is>
      </c>
      <c r="D55" t="n">
        <v>19.8</v>
      </c>
      <c r="E55" t="b">
        <v>1</v>
      </c>
      <c r="F55" t="n">
        <v>0.7152173913043478</v>
      </c>
      <c r="G55" t="n">
        <v>2.560570671301512</v>
      </c>
      <c r="H55" t="n">
        <v>0</v>
      </c>
      <c r="I55" t="n">
        <v>50.69929929176993</v>
      </c>
    </row>
    <row r="56">
      <c r="A56" t="b">
        <v>1</v>
      </c>
      <c r="B56" t="n">
        <v>0.75</v>
      </c>
      <c r="C56" t="inlineStr">
        <is>
          <t>AKSEMSETTIN</t>
        </is>
      </c>
      <c r="D56" t="n">
        <v>8.9</v>
      </c>
      <c r="E56" t="b">
        <v>0</v>
      </c>
      <c r="F56" t="n">
        <v>0</v>
      </c>
      <c r="G56" t="n">
        <v>2.943588561709431</v>
      </c>
      <c r="H56" t="n">
        <v>0</v>
      </c>
      <c r="I56" t="n">
        <v>26.19793819921394</v>
      </c>
    </row>
    <row r="57">
      <c r="A57" t="b">
        <v>1</v>
      </c>
      <c r="B57" t="n">
        <v>0.75</v>
      </c>
      <c r="C57" t="inlineStr">
        <is>
          <t>BATTALGAZI</t>
        </is>
      </c>
      <c r="D57" t="n">
        <v>18.4</v>
      </c>
      <c r="E57" t="b">
        <v>1</v>
      </c>
      <c r="F57" t="n">
        <v>0.7</v>
      </c>
      <c r="G57" t="n">
        <v>1.798238320516633</v>
      </c>
      <c r="H57" t="n">
        <v>0</v>
      </c>
      <c r="I57" t="n">
        <v>33.08758509750604</v>
      </c>
    </row>
    <row r="58">
      <c r="A58" t="b">
        <v>1</v>
      </c>
      <c r="B58" t="n">
        <v>0.75</v>
      </c>
      <c r="C58" t="inlineStr">
        <is>
          <t>FATIH</t>
        </is>
      </c>
      <c r="D58" t="n">
        <v>17</v>
      </c>
      <c r="E58" t="b">
        <v>1</v>
      </c>
      <c r="F58" t="n">
        <v>0.6847826086956522</v>
      </c>
      <c r="G58" t="n">
        <v>4.77307465623232</v>
      </c>
      <c r="H58" t="n">
        <v>0</v>
      </c>
      <c r="I58" t="n">
        <v>81.14226915594945</v>
      </c>
    </row>
    <row r="59">
      <c r="A59" t="b">
        <v>1</v>
      </c>
      <c r="B59" t="n">
        <v>0.75</v>
      </c>
      <c r="C59" t="inlineStr">
        <is>
          <t>HAMIDIYE</t>
        </is>
      </c>
      <c r="D59" t="n">
        <v>32.7</v>
      </c>
      <c r="E59" t="b">
        <v>1</v>
      </c>
      <c r="F59" t="n">
        <v>0.8554347826086957</v>
      </c>
      <c r="G59" t="n">
        <v>5.656655318957968</v>
      </c>
      <c r="H59" t="n">
        <v>0</v>
      </c>
      <c r="I59" t="n">
        <v>184.9726289299256</v>
      </c>
    </row>
    <row r="60">
      <c r="A60" t="b">
        <v>1</v>
      </c>
      <c r="B60" t="n">
        <v>0.75</v>
      </c>
      <c r="C60" t="inlineStr">
        <is>
          <t>HASANPASA</t>
        </is>
      </c>
      <c r="D60" t="n">
        <v>15.1</v>
      </c>
      <c r="E60" t="b">
        <v>1</v>
      </c>
      <c r="F60" t="n">
        <v>0.6641304347826087</v>
      </c>
      <c r="G60" t="n">
        <v>2.453552970388877</v>
      </c>
      <c r="H60" t="n">
        <v>0</v>
      </c>
      <c r="I60" t="n">
        <v>37.04864985287203</v>
      </c>
    </row>
    <row r="61">
      <c r="A61" t="b">
        <v>1</v>
      </c>
      <c r="B61" t="n">
        <v>0.75</v>
      </c>
      <c r="C61" t="inlineStr">
        <is>
          <t>MECIDIYE</t>
        </is>
      </c>
      <c r="D61" t="n">
        <v>15.5</v>
      </c>
      <c r="E61" t="b">
        <v>1</v>
      </c>
      <c r="F61" t="n">
        <v>0.6684782608695652</v>
      </c>
      <c r="G61" t="n">
        <v>1.898112802589436</v>
      </c>
      <c r="H61" t="n">
        <v>0</v>
      </c>
      <c r="I61" t="n">
        <v>29.42074844013625</v>
      </c>
    </row>
    <row r="62">
      <c r="A62" t="b">
        <v>1</v>
      </c>
      <c r="B62" t="n">
        <v>0.75</v>
      </c>
      <c r="C62" t="inlineStr">
        <is>
          <t>MEHMET AKIF</t>
        </is>
      </c>
      <c r="D62" t="n">
        <v>31</v>
      </c>
      <c r="E62" t="b">
        <v>1</v>
      </c>
      <c r="F62" t="n">
        <v>0.8369565217391304</v>
      </c>
      <c r="G62" t="n">
        <v>4.777341892473296</v>
      </c>
      <c r="H62" t="n">
        <v>0</v>
      </c>
      <c r="I62" t="n">
        <v>148.0975986666722</v>
      </c>
    </row>
    <row r="63">
      <c r="A63" t="b">
        <v>1</v>
      </c>
      <c r="B63" t="n">
        <v>0.75</v>
      </c>
      <c r="C63" t="inlineStr">
        <is>
          <t>MIMAR SINAN</t>
        </is>
      </c>
      <c r="D63" t="n">
        <v>3.9</v>
      </c>
      <c r="E63" t="b">
        <v>0</v>
      </c>
      <c r="F63" t="n">
        <v>0</v>
      </c>
      <c r="G63" t="n">
        <v>1.126734215804789</v>
      </c>
      <c r="H63" t="n">
        <v>0</v>
      </c>
      <c r="I63" t="n">
        <v>4.394263441638678</v>
      </c>
    </row>
    <row r="64">
      <c r="A64" t="b">
        <v>1</v>
      </c>
      <c r="B64" t="n">
        <v>0.75</v>
      </c>
      <c r="C64" t="inlineStr">
        <is>
          <t>NECIP FAZIL</t>
        </is>
      </c>
      <c r="D64" t="n">
        <v>17.6</v>
      </c>
      <c r="E64" t="b">
        <v>1</v>
      </c>
      <c r="F64" t="n">
        <v>0.691304347826087</v>
      </c>
      <c r="G64" t="n">
        <v>2.278440542374081</v>
      </c>
      <c r="H64" t="n">
        <v>0</v>
      </c>
      <c r="I64" t="n">
        <v>40.10055354578384</v>
      </c>
    </row>
    <row r="65">
      <c r="A65" t="b">
        <v>1</v>
      </c>
      <c r="B65" t="n">
        <v>0.75</v>
      </c>
      <c r="C65" t="inlineStr">
        <is>
          <t>ORHANGAZI</t>
        </is>
      </c>
      <c r="D65" t="n">
        <v>19.5</v>
      </c>
      <c r="E65" t="b">
        <v>1</v>
      </c>
      <c r="F65" t="n">
        <v>0.7119565217391304</v>
      </c>
      <c r="G65" t="n">
        <v>3.864602030007885</v>
      </c>
      <c r="H65" t="n">
        <v>0</v>
      </c>
      <c r="I65" t="n">
        <v>75.35973958515375</v>
      </c>
    </row>
    <row r="66">
      <c r="A66" t="b">
        <v>1</v>
      </c>
      <c r="B66" t="n">
        <v>0.75</v>
      </c>
      <c r="C66" t="inlineStr">
        <is>
          <t>SALGAMLI DEVLET ORMANI</t>
        </is>
      </c>
      <c r="D66" t="n">
        <v>0</v>
      </c>
      <c r="E66" t="b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b">
        <v>1</v>
      </c>
      <c r="B67" t="n">
        <v>0.75</v>
      </c>
      <c r="C67" t="inlineStr">
        <is>
          <t>TEFERRUC TEPE ORMANI</t>
        </is>
      </c>
      <c r="D67" t="n">
        <v>0</v>
      </c>
      <c r="E67" t="b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b">
        <v>1</v>
      </c>
      <c r="B68" t="n">
        <v>0.75</v>
      </c>
      <c r="C68" t="inlineStr">
        <is>
          <t>TURGUT REIS</t>
        </is>
      </c>
      <c r="D68" t="n">
        <v>6.9</v>
      </c>
      <c r="E68" t="b">
        <v>0</v>
      </c>
      <c r="F68" t="n">
        <v>0</v>
      </c>
      <c r="G68" t="n">
        <v>2.155104465029413</v>
      </c>
      <c r="H68" t="n">
        <v>0</v>
      </c>
      <c r="I68" t="n">
        <v>14.87022080870295</v>
      </c>
    </row>
    <row r="69">
      <c r="A69" t="b">
        <v>1</v>
      </c>
      <c r="B69" t="n">
        <v>0.75</v>
      </c>
      <c r="C69" t="inlineStr">
        <is>
          <t>YAVUZ SELIM</t>
        </is>
      </c>
      <c r="D69" t="n">
        <v>17.2</v>
      </c>
      <c r="E69" t="b">
        <v>1</v>
      </c>
      <c r="F69" t="n">
        <v>0.6869565217391305</v>
      </c>
      <c r="G69" t="n">
        <v>4.154878536728327</v>
      </c>
      <c r="H69" t="n">
        <v>0</v>
      </c>
      <c r="I69" t="n">
        <v>71.46391083172722</v>
      </c>
    </row>
    <row r="70">
      <c r="A70" t="b">
        <v>1</v>
      </c>
      <c r="B70" t="n">
        <v>1</v>
      </c>
      <c r="C70" t="inlineStr">
        <is>
          <t>ABDURRAHMANGAZI</t>
        </is>
      </c>
      <c r="D70" t="n">
        <v>34.5</v>
      </c>
      <c r="E70" t="b">
        <v>1</v>
      </c>
      <c r="F70" t="n">
        <v>1</v>
      </c>
      <c r="G70" t="n">
        <v>3.904454475601347</v>
      </c>
      <c r="H70" t="n">
        <v>0</v>
      </c>
      <c r="I70" t="n">
        <v>134.7036794082465</v>
      </c>
    </row>
    <row r="71">
      <c r="A71" t="b">
        <v>1</v>
      </c>
      <c r="B71" t="n">
        <v>1</v>
      </c>
      <c r="C71" t="inlineStr">
        <is>
          <t>ADIL</t>
        </is>
      </c>
      <c r="D71" t="n">
        <v>3.4</v>
      </c>
      <c r="E71" t="b">
        <v>0</v>
      </c>
      <c r="F71" t="n">
        <v>0</v>
      </c>
      <c r="G71" t="n">
        <v>1.194788063998196</v>
      </c>
      <c r="H71" t="n">
        <v>0</v>
      </c>
      <c r="I71" t="n">
        <v>4.062279417593866</v>
      </c>
    </row>
    <row r="72">
      <c r="A72" t="b">
        <v>1</v>
      </c>
      <c r="B72" t="n">
        <v>1</v>
      </c>
      <c r="C72" t="inlineStr">
        <is>
          <t>AHMET YESEVI</t>
        </is>
      </c>
      <c r="D72" t="n">
        <v>19.8</v>
      </c>
      <c r="E72" t="b">
        <v>1</v>
      </c>
      <c r="F72" t="n">
        <v>0.7869565217391304</v>
      </c>
      <c r="G72" t="n">
        <v>2.560570671301512</v>
      </c>
      <c r="H72" t="n">
        <v>0</v>
      </c>
      <c r="I72" t="n">
        <v>50.69929929176993</v>
      </c>
    </row>
    <row r="73">
      <c r="A73" t="b">
        <v>1</v>
      </c>
      <c r="B73" t="n">
        <v>1</v>
      </c>
      <c r="C73" t="inlineStr">
        <is>
          <t>AKSEMSETTIN</t>
        </is>
      </c>
      <c r="D73" t="n">
        <v>8.9</v>
      </c>
      <c r="E73" t="b">
        <v>0</v>
      </c>
      <c r="F73" t="n">
        <v>0</v>
      </c>
      <c r="G73" t="n">
        <v>2.943588561709431</v>
      </c>
      <c r="H73" t="n">
        <v>0</v>
      </c>
      <c r="I73" t="n">
        <v>26.19793819921394</v>
      </c>
    </row>
    <row r="74">
      <c r="A74" t="b">
        <v>1</v>
      </c>
      <c r="B74" t="n">
        <v>1</v>
      </c>
      <c r="C74" t="inlineStr">
        <is>
          <t>BATTALGAZI</t>
        </is>
      </c>
      <c r="D74" t="n">
        <v>18.4</v>
      </c>
      <c r="E74" t="b">
        <v>1</v>
      </c>
      <c r="F74" t="n">
        <v>0.7666666666666666</v>
      </c>
      <c r="G74" t="n">
        <v>1.798238320516633</v>
      </c>
      <c r="H74" t="n">
        <v>0</v>
      </c>
      <c r="I74" t="n">
        <v>33.08758509750604</v>
      </c>
    </row>
    <row r="75">
      <c r="A75" t="b">
        <v>1</v>
      </c>
      <c r="B75" t="n">
        <v>1</v>
      </c>
      <c r="C75" t="inlineStr">
        <is>
          <t>FATIH</t>
        </is>
      </c>
      <c r="D75" t="n">
        <v>17</v>
      </c>
      <c r="E75" t="b">
        <v>1</v>
      </c>
      <c r="F75" t="n">
        <v>0.7463768115942029</v>
      </c>
      <c r="G75" t="n">
        <v>4.77307465623232</v>
      </c>
      <c r="H75" t="n">
        <v>0</v>
      </c>
      <c r="I75" t="n">
        <v>81.14226915594945</v>
      </c>
    </row>
    <row r="76">
      <c r="A76" t="b">
        <v>1</v>
      </c>
      <c r="B76" t="n">
        <v>1</v>
      </c>
      <c r="C76" t="inlineStr">
        <is>
          <t>HAMIDIYE</t>
        </is>
      </c>
      <c r="D76" t="n">
        <v>32.7</v>
      </c>
      <c r="E76" t="b">
        <v>1</v>
      </c>
      <c r="F76" t="n">
        <v>0.9739130434782609</v>
      </c>
      <c r="G76" t="n">
        <v>5.656655318957968</v>
      </c>
      <c r="H76" t="n">
        <v>0</v>
      </c>
      <c r="I76" t="n">
        <v>184.9726289299256</v>
      </c>
    </row>
    <row r="77">
      <c r="A77" t="b">
        <v>1</v>
      </c>
      <c r="B77" t="n">
        <v>1</v>
      </c>
      <c r="C77" t="inlineStr">
        <is>
          <t>HASANPASA</t>
        </is>
      </c>
      <c r="D77" t="n">
        <v>15.1</v>
      </c>
      <c r="E77" t="b">
        <v>1</v>
      </c>
      <c r="F77" t="n">
        <v>0.7188405797101449</v>
      </c>
      <c r="G77" t="n">
        <v>2.453552970388877</v>
      </c>
      <c r="H77" t="n">
        <v>0</v>
      </c>
      <c r="I77" t="n">
        <v>37.04864985287203</v>
      </c>
    </row>
    <row r="78">
      <c r="A78" t="b">
        <v>1</v>
      </c>
      <c r="B78" t="n">
        <v>1</v>
      </c>
      <c r="C78" t="inlineStr">
        <is>
          <t>MECIDIYE</t>
        </is>
      </c>
      <c r="D78" t="n">
        <v>15.5</v>
      </c>
      <c r="E78" t="b">
        <v>1</v>
      </c>
      <c r="F78" t="n">
        <v>0.7246376811594203</v>
      </c>
      <c r="G78" t="n">
        <v>1.898112802589436</v>
      </c>
      <c r="H78" t="n">
        <v>0</v>
      </c>
      <c r="I78" t="n">
        <v>29.42074844013625</v>
      </c>
    </row>
    <row r="79">
      <c r="A79" t="b">
        <v>1</v>
      </c>
      <c r="B79" t="n">
        <v>1</v>
      </c>
      <c r="C79" t="inlineStr">
        <is>
          <t>MEHMET AKIF</t>
        </is>
      </c>
      <c r="D79" t="n">
        <v>31</v>
      </c>
      <c r="E79" t="b">
        <v>1</v>
      </c>
      <c r="F79" t="n">
        <v>0.9492753623188406</v>
      </c>
      <c r="G79" t="n">
        <v>4.777341892473296</v>
      </c>
      <c r="H79" t="n">
        <v>0</v>
      </c>
      <c r="I79" t="n">
        <v>148.0975986666722</v>
      </c>
    </row>
    <row r="80">
      <c r="A80" t="b">
        <v>1</v>
      </c>
      <c r="B80" t="n">
        <v>1</v>
      </c>
      <c r="C80" t="inlineStr">
        <is>
          <t>MIMAR SINAN</t>
        </is>
      </c>
      <c r="D80" t="n">
        <v>3.9</v>
      </c>
      <c r="E80" t="b">
        <v>0</v>
      </c>
      <c r="F80" t="n">
        <v>0</v>
      </c>
      <c r="G80" t="n">
        <v>1.126734215804789</v>
      </c>
      <c r="H80" t="n">
        <v>0</v>
      </c>
      <c r="I80" t="n">
        <v>4.394263441638678</v>
      </c>
    </row>
    <row r="81">
      <c r="A81" t="b">
        <v>1</v>
      </c>
      <c r="B81" t="n">
        <v>1</v>
      </c>
      <c r="C81" t="inlineStr">
        <is>
          <t>NECIP FAZIL</t>
        </is>
      </c>
      <c r="D81" t="n">
        <v>17.6</v>
      </c>
      <c r="E81" t="b">
        <v>1</v>
      </c>
      <c r="F81" t="n">
        <v>0.755072463768116</v>
      </c>
      <c r="G81" t="n">
        <v>2.278440542374081</v>
      </c>
      <c r="H81" t="n">
        <v>0</v>
      </c>
      <c r="I81" t="n">
        <v>40.10055354578384</v>
      </c>
    </row>
    <row r="82">
      <c r="A82" t="b">
        <v>1</v>
      </c>
      <c r="B82" t="n">
        <v>1</v>
      </c>
      <c r="C82" t="inlineStr">
        <is>
          <t>ORHANGAZI</t>
        </is>
      </c>
      <c r="D82" t="n">
        <v>19.5</v>
      </c>
      <c r="E82" t="b">
        <v>1</v>
      </c>
      <c r="F82" t="n">
        <v>0.7826086956521738</v>
      </c>
      <c r="G82" t="n">
        <v>3.864602030007885</v>
      </c>
      <c r="H82" t="n">
        <v>0</v>
      </c>
      <c r="I82" t="n">
        <v>75.35973958515375</v>
      </c>
    </row>
    <row r="83">
      <c r="A83" t="b">
        <v>1</v>
      </c>
      <c r="B83" t="n">
        <v>1</v>
      </c>
      <c r="C83" t="inlineStr">
        <is>
          <t>SALGAMLI DEVLET ORMANI</t>
        </is>
      </c>
      <c r="D83" t="n">
        <v>0</v>
      </c>
      <c r="E83" t="b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b">
        <v>1</v>
      </c>
      <c r="B84" t="n">
        <v>1</v>
      </c>
      <c r="C84" t="inlineStr">
        <is>
          <t>TEFERRUC TEPE ORMANI</t>
        </is>
      </c>
      <c r="D84" t="n">
        <v>0</v>
      </c>
      <c r="E84" t="b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b">
        <v>1</v>
      </c>
      <c r="B85" t="n">
        <v>1</v>
      </c>
      <c r="C85" t="inlineStr">
        <is>
          <t>TURGUT REIS</t>
        </is>
      </c>
      <c r="D85" t="n">
        <v>6.9</v>
      </c>
      <c r="E85" t="b">
        <v>0</v>
      </c>
      <c r="F85" t="n">
        <v>0</v>
      </c>
      <c r="G85" t="n">
        <v>2.155104465029413</v>
      </c>
      <c r="H85" t="n">
        <v>0</v>
      </c>
      <c r="I85" t="n">
        <v>14.87022080870295</v>
      </c>
    </row>
    <row r="86">
      <c r="A86" t="b">
        <v>1</v>
      </c>
      <c r="B86" t="n">
        <v>1</v>
      </c>
      <c r="C86" t="inlineStr">
        <is>
          <t>YAVUZ SELIM</t>
        </is>
      </c>
      <c r="D86" t="n">
        <v>17.2</v>
      </c>
      <c r="E86" t="b">
        <v>1</v>
      </c>
      <c r="F86" t="n">
        <v>0.7492753623188406</v>
      </c>
      <c r="G86" t="n">
        <v>4.154878536728327</v>
      </c>
      <c r="H86" t="n">
        <v>0</v>
      </c>
      <c r="I86" t="n">
        <v>71.46391083172722</v>
      </c>
    </row>
    <row r="87">
      <c r="A87" t="b">
        <v>0</v>
      </c>
      <c r="B87" t="n">
        <v>0</v>
      </c>
      <c r="C87" t="inlineStr">
        <is>
          <t>ABDURRAHMANGAZI</t>
        </is>
      </c>
      <c r="D87" t="n">
        <v>34.5</v>
      </c>
      <c r="E87" t="b">
        <v>1</v>
      </c>
      <c r="F87" t="n">
        <v>0.5</v>
      </c>
      <c r="G87" t="n">
        <v>2.123219014413277</v>
      </c>
      <c r="H87" t="n">
        <v>0</v>
      </c>
      <c r="I87" t="n">
        <v>73.25105599725808</v>
      </c>
    </row>
    <row r="88">
      <c r="A88" t="b">
        <v>0</v>
      </c>
      <c r="B88" t="n">
        <v>0</v>
      </c>
      <c r="C88" t="inlineStr">
        <is>
          <t>ADIL</t>
        </is>
      </c>
      <c r="D88" t="n">
        <v>3.4</v>
      </c>
      <c r="E88" t="b">
        <v>0</v>
      </c>
      <c r="F88" t="n">
        <v>0</v>
      </c>
      <c r="G88" t="n">
        <v>0.2275134691737564</v>
      </c>
      <c r="H88" t="n">
        <v>0</v>
      </c>
      <c r="I88" t="n">
        <v>0.7735457951907717</v>
      </c>
    </row>
    <row r="89">
      <c r="A89" t="b">
        <v>0</v>
      </c>
      <c r="B89" t="n">
        <v>0</v>
      </c>
      <c r="C89" t="inlineStr">
        <is>
          <t>AHMET YESEVI</t>
        </is>
      </c>
      <c r="D89" t="n">
        <v>19.8</v>
      </c>
      <c r="E89" t="b">
        <v>1</v>
      </c>
      <c r="F89" t="n">
        <v>0.5</v>
      </c>
      <c r="G89" t="n">
        <v>1.394111034151039</v>
      </c>
      <c r="H89" t="n">
        <v>0</v>
      </c>
      <c r="I89" t="n">
        <v>27.60339847619058</v>
      </c>
    </row>
    <row r="90">
      <c r="A90" t="b">
        <v>0</v>
      </c>
      <c r="B90" t="n">
        <v>0</v>
      </c>
      <c r="C90" t="inlineStr">
        <is>
          <t>AKSEMSETTIN</t>
        </is>
      </c>
      <c r="D90" t="n">
        <v>8.9</v>
      </c>
      <c r="E90" t="b">
        <v>0</v>
      </c>
      <c r="F90" t="n">
        <v>0</v>
      </c>
      <c r="G90" t="n">
        <v>1.309169781363372</v>
      </c>
      <c r="H90" t="n">
        <v>0</v>
      </c>
      <c r="I90" t="n">
        <v>11.65161105413401</v>
      </c>
    </row>
    <row r="91">
      <c r="A91" t="b">
        <v>0</v>
      </c>
      <c r="B91" t="n">
        <v>0</v>
      </c>
      <c r="C91" t="inlineStr">
        <is>
          <t>BATTALGAZI</t>
        </is>
      </c>
      <c r="D91" t="n">
        <v>18.4</v>
      </c>
      <c r="E91" t="b">
        <v>1</v>
      </c>
      <c r="F91" t="n">
        <v>0.5</v>
      </c>
      <c r="G91" t="n">
        <v>0.612568336985616</v>
      </c>
      <c r="H91" t="n">
        <v>0</v>
      </c>
      <c r="I91" t="n">
        <v>11.27125740053533</v>
      </c>
    </row>
    <row r="92">
      <c r="A92" t="b">
        <v>0</v>
      </c>
      <c r="B92" t="n">
        <v>0</v>
      </c>
      <c r="C92" t="inlineStr">
        <is>
          <t>FATIH</t>
        </is>
      </c>
      <c r="D92" t="n">
        <v>17</v>
      </c>
      <c r="E92" t="b">
        <v>1</v>
      </c>
      <c r="F92" t="n">
        <v>0.5</v>
      </c>
      <c r="G92" t="n">
        <v>2.394852014993901</v>
      </c>
      <c r="H92" t="n">
        <v>0</v>
      </c>
      <c r="I92" t="n">
        <v>40.71248425489632</v>
      </c>
    </row>
    <row r="93">
      <c r="A93" t="b">
        <v>0</v>
      </c>
      <c r="B93" t="n">
        <v>0</v>
      </c>
      <c r="C93" t="inlineStr">
        <is>
          <t>HAMIDIYE</t>
        </is>
      </c>
      <c r="D93" t="n">
        <v>32.7</v>
      </c>
      <c r="E93" t="b">
        <v>1</v>
      </c>
      <c r="F93" t="n">
        <v>0.5</v>
      </c>
      <c r="G93" t="n">
        <v>3.421390163568875</v>
      </c>
      <c r="H93" t="n">
        <v>0</v>
      </c>
      <c r="I93" t="n">
        <v>111.8794583487022</v>
      </c>
    </row>
    <row r="94">
      <c r="A94" t="b">
        <v>0</v>
      </c>
      <c r="B94" t="n">
        <v>0</v>
      </c>
      <c r="C94" t="inlineStr">
        <is>
          <t>HASANPASA</t>
        </is>
      </c>
      <c r="D94" t="n">
        <v>15.1</v>
      </c>
      <c r="E94" t="b">
        <v>1</v>
      </c>
      <c r="F94" t="n">
        <v>0.5</v>
      </c>
      <c r="G94" t="n">
        <v>0.693771822260019</v>
      </c>
      <c r="H94" t="n">
        <v>0</v>
      </c>
      <c r="I94" t="n">
        <v>10.47595451612629</v>
      </c>
    </row>
    <row r="95">
      <c r="A95" t="b">
        <v>0</v>
      </c>
      <c r="B95" t="n">
        <v>0</v>
      </c>
      <c r="C95" t="inlineStr">
        <is>
          <t>MECIDIYE</t>
        </is>
      </c>
      <c r="D95" t="n">
        <v>15.5</v>
      </c>
      <c r="E95" t="b">
        <v>1</v>
      </c>
      <c r="F95" t="n">
        <v>0.5</v>
      </c>
      <c r="G95" t="n">
        <v>1.045645271728573</v>
      </c>
      <c r="H95" t="n">
        <v>0</v>
      </c>
      <c r="I95" t="n">
        <v>16.20750171179288</v>
      </c>
    </row>
    <row r="96">
      <c r="A96" t="b">
        <v>0</v>
      </c>
      <c r="B96" t="n">
        <v>0</v>
      </c>
      <c r="C96" t="inlineStr">
        <is>
          <t>MEHMET AKIF</t>
        </is>
      </c>
      <c r="D96" t="n">
        <v>31</v>
      </c>
      <c r="E96" t="b">
        <v>1</v>
      </c>
      <c r="F96" t="n">
        <v>0.5</v>
      </c>
      <c r="G96" t="n">
        <v>2.735230994363094</v>
      </c>
      <c r="H96" t="n">
        <v>0</v>
      </c>
      <c r="I96" t="n">
        <v>84.79216082525592</v>
      </c>
    </row>
    <row r="97">
      <c r="A97" t="b">
        <v>0</v>
      </c>
      <c r="B97" t="n">
        <v>0</v>
      </c>
      <c r="C97" t="inlineStr">
        <is>
          <t>MIMAR SINAN</t>
        </is>
      </c>
      <c r="D97" t="n">
        <v>3.9</v>
      </c>
      <c r="E97" t="b">
        <v>0</v>
      </c>
      <c r="F97" t="n">
        <v>0</v>
      </c>
      <c r="G97" t="n">
        <v>0.03740950152601137</v>
      </c>
      <c r="H97" t="n">
        <v>0</v>
      </c>
      <c r="I97" t="n">
        <v>0.1458970559514443</v>
      </c>
    </row>
    <row r="98">
      <c r="A98" t="b">
        <v>0</v>
      </c>
      <c r="B98" t="n">
        <v>0</v>
      </c>
      <c r="C98" t="inlineStr">
        <is>
          <t>NECIP FAZIL</t>
        </is>
      </c>
      <c r="D98" t="n">
        <v>17.6</v>
      </c>
      <c r="E98" t="b">
        <v>1</v>
      </c>
      <c r="F98" t="n">
        <v>0.5</v>
      </c>
      <c r="G98" t="n">
        <v>0.6000925905388299</v>
      </c>
      <c r="H98" t="n">
        <v>0</v>
      </c>
      <c r="I98" t="n">
        <v>10.56162959348341</v>
      </c>
    </row>
    <row r="99">
      <c r="A99" t="b">
        <v>0</v>
      </c>
      <c r="B99" t="n">
        <v>0</v>
      </c>
      <c r="C99" t="inlineStr">
        <is>
          <t>ORHANGAZI</t>
        </is>
      </c>
      <c r="D99" t="n">
        <v>19.5</v>
      </c>
      <c r="E99" t="b">
        <v>1</v>
      </c>
      <c r="F99" t="n">
        <v>0.5</v>
      </c>
      <c r="G99" t="n">
        <v>1.833963996518046</v>
      </c>
      <c r="H99" t="n">
        <v>0</v>
      </c>
      <c r="I99" t="n">
        <v>35.76229793210189</v>
      </c>
    </row>
    <row r="100">
      <c r="A100" t="b">
        <v>0</v>
      </c>
      <c r="B100" t="n">
        <v>0</v>
      </c>
      <c r="C100" t="inlineStr">
        <is>
          <t>SALGAMLI DEVLET ORMANI</t>
        </is>
      </c>
      <c r="D100" t="n">
        <v>0</v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b">
        <v>0</v>
      </c>
      <c r="B101" t="n">
        <v>0</v>
      </c>
      <c r="C101" t="inlineStr">
        <is>
          <t>TEFERRUC TEPE ORMANI</t>
        </is>
      </c>
      <c r="D101" t="n">
        <v>0</v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b">
        <v>0</v>
      </c>
      <c r="B102" t="n">
        <v>0</v>
      </c>
      <c r="C102" t="inlineStr">
        <is>
          <t>TURGUT REIS</t>
        </is>
      </c>
      <c r="D102" t="n">
        <v>6.9</v>
      </c>
      <c r="E102" t="b">
        <v>0</v>
      </c>
      <c r="F102" t="n">
        <v>0</v>
      </c>
      <c r="G102" t="n">
        <v>0.9422269446290649</v>
      </c>
      <c r="H102" t="n">
        <v>0</v>
      </c>
      <c r="I102" t="n">
        <v>6.501365917940548</v>
      </c>
    </row>
    <row r="103">
      <c r="A103" t="b">
        <v>0</v>
      </c>
      <c r="B103" t="n">
        <v>0</v>
      </c>
      <c r="C103" t="inlineStr">
        <is>
          <t>YAVUZ SELIM</t>
        </is>
      </c>
      <c r="D103" t="n">
        <v>17.2</v>
      </c>
      <c r="E103" t="b">
        <v>1</v>
      </c>
      <c r="F103" t="n">
        <v>0.5</v>
      </c>
      <c r="G103" t="n">
        <v>1.775640443945851</v>
      </c>
      <c r="H103" t="n">
        <v>0</v>
      </c>
      <c r="I103" t="n">
        <v>30.54101563586864</v>
      </c>
    </row>
    <row r="104">
      <c r="A104" t="b">
        <v>0</v>
      </c>
      <c r="B104" t="n">
        <v>0.25</v>
      </c>
      <c r="C104" t="inlineStr">
        <is>
          <t>ABDURRAHMANGAZI</t>
        </is>
      </c>
      <c r="D104" t="n">
        <v>34.5</v>
      </c>
      <c r="E104" t="b">
        <v>1</v>
      </c>
      <c r="F104" t="n">
        <v>0.625</v>
      </c>
      <c r="G104" t="n">
        <v>2.123219014413277</v>
      </c>
      <c r="H104" t="n">
        <v>0</v>
      </c>
      <c r="I104" t="n">
        <v>73.25105599725808</v>
      </c>
    </row>
    <row r="105">
      <c r="A105" t="b">
        <v>0</v>
      </c>
      <c r="B105" t="n">
        <v>0.25</v>
      </c>
      <c r="C105" t="inlineStr">
        <is>
          <t>ADIL</t>
        </is>
      </c>
      <c r="D105" t="n">
        <v>3.4</v>
      </c>
      <c r="E105" t="b">
        <v>0</v>
      </c>
      <c r="F105" t="n">
        <v>0</v>
      </c>
      <c r="G105" t="n">
        <v>0.2275134691737564</v>
      </c>
      <c r="H105" t="n">
        <v>0</v>
      </c>
      <c r="I105" t="n">
        <v>0.7735457951907717</v>
      </c>
    </row>
    <row r="106">
      <c r="A106" t="b">
        <v>0</v>
      </c>
      <c r="B106" t="n">
        <v>0.25</v>
      </c>
      <c r="C106" t="inlineStr">
        <is>
          <t>AHMET YESEVI</t>
        </is>
      </c>
      <c r="D106" t="n">
        <v>19.8</v>
      </c>
      <c r="E106" t="b">
        <v>1</v>
      </c>
      <c r="F106" t="n">
        <v>0.5717391304347826</v>
      </c>
      <c r="G106" t="n">
        <v>1.394111034151039</v>
      </c>
      <c r="H106" t="n">
        <v>0</v>
      </c>
      <c r="I106" t="n">
        <v>27.60339847619058</v>
      </c>
    </row>
    <row r="107">
      <c r="A107" t="b">
        <v>0</v>
      </c>
      <c r="B107" t="n">
        <v>0.25</v>
      </c>
      <c r="C107" t="inlineStr">
        <is>
          <t>AKSEMSETTIN</t>
        </is>
      </c>
      <c r="D107" t="n">
        <v>8.9</v>
      </c>
      <c r="E107" t="b">
        <v>0</v>
      </c>
      <c r="F107" t="n">
        <v>0</v>
      </c>
      <c r="G107" t="n">
        <v>1.309169781363372</v>
      </c>
      <c r="H107" t="n">
        <v>0</v>
      </c>
      <c r="I107" t="n">
        <v>11.65161105413401</v>
      </c>
    </row>
    <row r="108">
      <c r="A108" t="b">
        <v>0</v>
      </c>
      <c r="B108" t="n">
        <v>0.25</v>
      </c>
      <c r="C108" t="inlineStr">
        <is>
          <t>BATTALGAZI</t>
        </is>
      </c>
      <c r="D108" t="n">
        <v>18.4</v>
      </c>
      <c r="E108" t="b">
        <v>1</v>
      </c>
      <c r="F108" t="n">
        <v>0.5666666666666667</v>
      </c>
      <c r="G108" t="n">
        <v>0.612568336985616</v>
      </c>
      <c r="H108" t="n">
        <v>0</v>
      </c>
      <c r="I108" t="n">
        <v>11.27125740053533</v>
      </c>
    </row>
    <row r="109">
      <c r="A109" t="b">
        <v>0</v>
      </c>
      <c r="B109" t="n">
        <v>0.25</v>
      </c>
      <c r="C109" t="inlineStr">
        <is>
          <t>FATIH</t>
        </is>
      </c>
      <c r="D109" t="n">
        <v>17</v>
      </c>
      <c r="E109" t="b">
        <v>1</v>
      </c>
      <c r="F109" t="n">
        <v>0.5615942028985508</v>
      </c>
      <c r="G109" t="n">
        <v>2.394852014993901</v>
      </c>
      <c r="H109" t="n">
        <v>0</v>
      </c>
      <c r="I109" t="n">
        <v>40.71248425489632</v>
      </c>
    </row>
    <row r="110">
      <c r="A110" t="b">
        <v>0</v>
      </c>
      <c r="B110" t="n">
        <v>0.25</v>
      </c>
      <c r="C110" t="inlineStr">
        <is>
          <t>HAMIDIYE</t>
        </is>
      </c>
      <c r="D110" t="n">
        <v>32.7</v>
      </c>
      <c r="E110" t="b">
        <v>1</v>
      </c>
      <c r="F110" t="n">
        <v>0.6184782608695653</v>
      </c>
      <c r="G110" t="n">
        <v>3.421390163568875</v>
      </c>
      <c r="H110" t="n">
        <v>0</v>
      </c>
      <c r="I110" t="n">
        <v>111.8794583487022</v>
      </c>
    </row>
    <row r="111">
      <c r="A111" t="b">
        <v>0</v>
      </c>
      <c r="B111" t="n">
        <v>0.25</v>
      </c>
      <c r="C111" t="inlineStr">
        <is>
          <t>HASANPASA</t>
        </is>
      </c>
      <c r="D111" t="n">
        <v>15.1</v>
      </c>
      <c r="E111" t="b">
        <v>1</v>
      </c>
      <c r="F111" t="n">
        <v>0.5547101449275362</v>
      </c>
      <c r="G111" t="n">
        <v>0.693771822260019</v>
      </c>
      <c r="H111" t="n">
        <v>0</v>
      </c>
      <c r="I111" t="n">
        <v>10.47595451612629</v>
      </c>
    </row>
    <row r="112">
      <c r="A112" t="b">
        <v>0</v>
      </c>
      <c r="B112" t="n">
        <v>0.25</v>
      </c>
      <c r="C112" t="inlineStr">
        <is>
          <t>MECIDIYE</t>
        </is>
      </c>
      <c r="D112" t="n">
        <v>15.5</v>
      </c>
      <c r="E112" t="b">
        <v>1</v>
      </c>
      <c r="F112" t="n">
        <v>0.5561594202898551</v>
      </c>
      <c r="G112" t="n">
        <v>1.045645271728573</v>
      </c>
      <c r="H112" t="n">
        <v>0</v>
      </c>
      <c r="I112" t="n">
        <v>16.20750171179288</v>
      </c>
    </row>
    <row r="113">
      <c r="A113" t="b">
        <v>0</v>
      </c>
      <c r="B113" t="n">
        <v>0.25</v>
      </c>
      <c r="C113" t="inlineStr">
        <is>
          <t>MEHMET AKIF</t>
        </is>
      </c>
      <c r="D113" t="n">
        <v>31</v>
      </c>
      <c r="E113" t="b">
        <v>1</v>
      </c>
      <c r="F113" t="n">
        <v>0.6123188405797102</v>
      </c>
      <c r="G113" t="n">
        <v>2.735230994363094</v>
      </c>
      <c r="H113" t="n">
        <v>0</v>
      </c>
      <c r="I113" t="n">
        <v>84.79216082525592</v>
      </c>
    </row>
    <row r="114">
      <c r="A114" t="b">
        <v>0</v>
      </c>
      <c r="B114" t="n">
        <v>0.25</v>
      </c>
      <c r="C114" t="inlineStr">
        <is>
          <t>MIMAR SINAN</t>
        </is>
      </c>
      <c r="D114" t="n">
        <v>3.9</v>
      </c>
      <c r="E114" t="b">
        <v>0</v>
      </c>
      <c r="F114" t="n">
        <v>0</v>
      </c>
      <c r="G114" t="n">
        <v>0.03740950152601137</v>
      </c>
      <c r="H114" t="n">
        <v>0</v>
      </c>
      <c r="I114" t="n">
        <v>0.1458970559514443</v>
      </c>
    </row>
    <row r="115">
      <c r="A115" t="b">
        <v>0</v>
      </c>
      <c r="B115" t="n">
        <v>0.25</v>
      </c>
      <c r="C115" t="inlineStr">
        <is>
          <t>NECIP FAZIL</t>
        </is>
      </c>
      <c r="D115" t="n">
        <v>17.6</v>
      </c>
      <c r="E115" t="b">
        <v>1</v>
      </c>
      <c r="F115" t="n">
        <v>0.563768115942029</v>
      </c>
      <c r="G115" t="n">
        <v>0.6000925905388299</v>
      </c>
      <c r="H115" t="n">
        <v>0</v>
      </c>
      <c r="I115" t="n">
        <v>10.56162959348341</v>
      </c>
    </row>
    <row r="116">
      <c r="A116" t="b">
        <v>0</v>
      </c>
      <c r="B116" t="n">
        <v>0.25</v>
      </c>
      <c r="C116" t="inlineStr">
        <is>
          <t>ORHANGAZI</t>
        </is>
      </c>
      <c r="D116" t="n">
        <v>19.5</v>
      </c>
      <c r="E116" t="b">
        <v>1</v>
      </c>
      <c r="F116" t="n">
        <v>0.5706521739130435</v>
      </c>
      <c r="G116" t="n">
        <v>1.833963996518046</v>
      </c>
      <c r="H116" t="n">
        <v>0</v>
      </c>
      <c r="I116" t="n">
        <v>35.76229793210189</v>
      </c>
    </row>
    <row r="117">
      <c r="A117" t="b">
        <v>0</v>
      </c>
      <c r="B117" t="n">
        <v>0.25</v>
      </c>
      <c r="C117" t="inlineStr">
        <is>
          <t>SALGAMLI DEVLET ORMANI</t>
        </is>
      </c>
      <c r="D117" t="n">
        <v>0</v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b">
        <v>0</v>
      </c>
      <c r="B118" t="n">
        <v>0.25</v>
      </c>
      <c r="C118" t="inlineStr">
        <is>
          <t>TEFERRUC TEPE ORMANI</t>
        </is>
      </c>
      <c r="D118" t="n">
        <v>0</v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b">
        <v>0</v>
      </c>
      <c r="B119" t="n">
        <v>0.25</v>
      </c>
      <c r="C119" t="inlineStr">
        <is>
          <t>TURGUT REIS</t>
        </is>
      </c>
      <c r="D119" t="n">
        <v>6.9</v>
      </c>
      <c r="E119" t="b">
        <v>0</v>
      </c>
      <c r="F119" t="n">
        <v>0</v>
      </c>
      <c r="G119" t="n">
        <v>0.9422269446290649</v>
      </c>
      <c r="H119" t="n">
        <v>0</v>
      </c>
      <c r="I119" t="n">
        <v>6.501365917940548</v>
      </c>
    </row>
    <row r="120">
      <c r="A120" t="b">
        <v>0</v>
      </c>
      <c r="B120" t="n">
        <v>0.25</v>
      </c>
      <c r="C120" t="inlineStr">
        <is>
          <t>YAVUZ SELIM</t>
        </is>
      </c>
      <c r="D120" t="n">
        <v>17.2</v>
      </c>
      <c r="E120" t="b">
        <v>1</v>
      </c>
      <c r="F120" t="n">
        <v>0.5623188405797102</v>
      </c>
      <c r="G120" t="n">
        <v>1.775640443945851</v>
      </c>
      <c r="H120" t="n">
        <v>0</v>
      </c>
      <c r="I120" t="n">
        <v>30.54101563586864</v>
      </c>
    </row>
    <row r="121">
      <c r="A121" t="b">
        <v>0</v>
      </c>
      <c r="B121" t="n">
        <v>0.5</v>
      </c>
      <c r="C121" t="inlineStr">
        <is>
          <t>ABDURRAHMANGAZI</t>
        </is>
      </c>
      <c r="D121" t="n">
        <v>34.5</v>
      </c>
      <c r="E121" t="b">
        <v>1</v>
      </c>
      <c r="F121" t="n">
        <v>0.75</v>
      </c>
      <c r="G121" t="n">
        <v>2.165690401727638</v>
      </c>
      <c r="H121" t="n">
        <v>0</v>
      </c>
      <c r="I121" t="n">
        <v>74.7163188596035</v>
      </c>
    </row>
    <row r="122">
      <c r="A122" t="b">
        <v>0</v>
      </c>
      <c r="B122" t="n">
        <v>0.5</v>
      </c>
      <c r="C122" t="inlineStr">
        <is>
          <t>ADIL</t>
        </is>
      </c>
      <c r="D122" t="n">
        <v>3.4</v>
      </c>
      <c r="E122" t="b">
        <v>0</v>
      </c>
      <c r="F122" t="n">
        <v>0</v>
      </c>
      <c r="G122" t="n">
        <v>0.2359040357165353</v>
      </c>
      <c r="H122" t="n">
        <v>0</v>
      </c>
      <c r="I122" t="n">
        <v>0.8020737214362199</v>
      </c>
    </row>
    <row r="123">
      <c r="A123" t="b">
        <v>0</v>
      </c>
      <c r="B123" t="n">
        <v>0.5</v>
      </c>
      <c r="C123" t="inlineStr">
        <is>
          <t>AHMET YESEVI</t>
        </is>
      </c>
      <c r="D123" t="n">
        <v>19.8</v>
      </c>
      <c r="E123" t="b">
        <v>1</v>
      </c>
      <c r="F123" t="n">
        <v>0.6434782608695653</v>
      </c>
      <c r="G123" t="n">
        <v>1.309735754302501</v>
      </c>
      <c r="H123" t="n">
        <v>0</v>
      </c>
      <c r="I123" t="n">
        <v>25.93276793518952</v>
      </c>
    </row>
    <row r="124">
      <c r="A124" t="b">
        <v>0</v>
      </c>
      <c r="B124" t="n">
        <v>0.5</v>
      </c>
      <c r="C124" t="inlineStr">
        <is>
          <t>AKSEMSETTIN</t>
        </is>
      </c>
      <c r="D124" t="n">
        <v>8.9</v>
      </c>
      <c r="E124" t="b">
        <v>0</v>
      </c>
      <c r="F124" t="n">
        <v>0</v>
      </c>
      <c r="G124" t="n">
        <v>0.9433993239063316</v>
      </c>
      <c r="H124" t="n">
        <v>0</v>
      </c>
      <c r="I124" t="n">
        <v>8.396253982766352</v>
      </c>
    </row>
    <row r="125">
      <c r="A125" t="b">
        <v>0</v>
      </c>
      <c r="B125" t="n">
        <v>0.5</v>
      </c>
      <c r="C125" t="inlineStr">
        <is>
          <t>BATTALGAZI</t>
        </is>
      </c>
      <c r="D125" t="n">
        <v>18.4</v>
      </c>
      <c r="E125" t="b">
        <v>1</v>
      </c>
      <c r="F125" t="n">
        <v>0.6333333333333333</v>
      </c>
      <c r="G125" t="n">
        <v>0.7340702535812724</v>
      </c>
      <c r="H125" t="n">
        <v>0</v>
      </c>
      <c r="I125" t="n">
        <v>13.50689266589541</v>
      </c>
    </row>
    <row r="126">
      <c r="A126" t="b">
        <v>0</v>
      </c>
      <c r="B126" t="n">
        <v>0.5</v>
      </c>
      <c r="C126" t="inlineStr">
        <is>
          <t>FATIH</t>
        </is>
      </c>
      <c r="D126" t="n">
        <v>17</v>
      </c>
      <c r="E126" t="b">
        <v>1</v>
      </c>
      <c r="F126" t="n">
        <v>0.6231884057971014</v>
      </c>
      <c r="G126" t="n">
        <v>2.996852303506733</v>
      </c>
      <c r="H126" t="n">
        <v>0</v>
      </c>
      <c r="I126" t="n">
        <v>50.94648915961447</v>
      </c>
    </row>
    <row r="127">
      <c r="A127" t="b">
        <v>0</v>
      </c>
      <c r="B127" t="n">
        <v>0.5</v>
      </c>
      <c r="C127" t="inlineStr">
        <is>
          <t>HAMIDIYE</t>
        </is>
      </c>
      <c r="D127" t="n">
        <v>32.7</v>
      </c>
      <c r="E127" t="b">
        <v>1</v>
      </c>
      <c r="F127" t="n">
        <v>0.7369565217391305</v>
      </c>
      <c r="G127" t="n">
        <v>2.875330907629694</v>
      </c>
      <c r="H127" t="n">
        <v>0</v>
      </c>
      <c r="I127" t="n">
        <v>94.02332067949099</v>
      </c>
    </row>
    <row r="128">
      <c r="A128" t="b">
        <v>0</v>
      </c>
      <c r="B128" t="n">
        <v>0.5</v>
      </c>
      <c r="C128" t="inlineStr">
        <is>
          <t>HASANPASA</t>
        </is>
      </c>
      <c r="D128" t="n">
        <v>15.1</v>
      </c>
      <c r="E128" t="b">
        <v>1</v>
      </c>
      <c r="F128" t="n">
        <v>0.6094202898550725</v>
      </c>
      <c r="G128" t="n">
        <v>0.6942302362560147</v>
      </c>
      <c r="H128" t="n">
        <v>0</v>
      </c>
      <c r="I128" t="n">
        <v>10.48287656746582</v>
      </c>
    </row>
    <row r="129">
      <c r="A129" t="b">
        <v>0</v>
      </c>
      <c r="B129" t="n">
        <v>0.5</v>
      </c>
      <c r="C129" t="inlineStr">
        <is>
          <t>MECIDIYE</t>
        </is>
      </c>
      <c r="D129" t="n">
        <v>15.5</v>
      </c>
      <c r="E129" t="b">
        <v>1</v>
      </c>
      <c r="F129" t="n">
        <v>0.6123188405797102</v>
      </c>
      <c r="G129" t="n">
        <v>0.6698075543946341</v>
      </c>
      <c r="H129" t="n">
        <v>0</v>
      </c>
      <c r="I129" t="n">
        <v>10.38201709311683</v>
      </c>
    </row>
    <row r="130">
      <c r="A130" t="b">
        <v>0</v>
      </c>
      <c r="B130" t="n">
        <v>0.5</v>
      </c>
      <c r="C130" t="inlineStr">
        <is>
          <t>MEHMET AKIF</t>
        </is>
      </c>
      <c r="D130" t="n">
        <v>31</v>
      </c>
      <c r="E130" t="b">
        <v>1</v>
      </c>
      <c r="F130" t="n">
        <v>0.7246376811594203</v>
      </c>
      <c r="G130" t="n">
        <v>2.988465203740918</v>
      </c>
      <c r="H130" t="n">
        <v>0</v>
      </c>
      <c r="I130" t="n">
        <v>92.64242131596845</v>
      </c>
    </row>
    <row r="131">
      <c r="A131" t="b">
        <v>0</v>
      </c>
      <c r="B131" t="n">
        <v>0.5</v>
      </c>
      <c r="C131" t="inlineStr">
        <is>
          <t>MIMAR SINAN</t>
        </is>
      </c>
      <c r="D131" t="n">
        <v>3.9</v>
      </c>
      <c r="E131" t="b">
        <v>0</v>
      </c>
      <c r="F131" t="n">
        <v>0</v>
      </c>
      <c r="G131" t="n">
        <v>0.06155147209485337</v>
      </c>
      <c r="H131" t="n">
        <v>0</v>
      </c>
      <c r="I131" t="n">
        <v>0.2400507411699281</v>
      </c>
    </row>
    <row r="132">
      <c r="A132" t="b">
        <v>0</v>
      </c>
      <c r="B132" t="n">
        <v>0.5</v>
      </c>
      <c r="C132" t="inlineStr">
        <is>
          <t>NECIP FAZIL</t>
        </is>
      </c>
      <c r="D132" t="n">
        <v>17.6</v>
      </c>
      <c r="E132" t="b">
        <v>1</v>
      </c>
      <c r="F132" t="n">
        <v>0.627536231884058</v>
      </c>
      <c r="G132" t="n">
        <v>0.7082424139556518</v>
      </c>
      <c r="H132" t="n">
        <v>0</v>
      </c>
      <c r="I132" t="n">
        <v>12.46506648561947</v>
      </c>
    </row>
    <row r="133">
      <c r="A133" t="b">
        <v>0</v>
      </c>
      <c r="B133" t="n">
        <v>0.5</v>
      </c>
      <c r="C133" t="inlineStr">
        <is>
          <t>ORHANGAZI</t>
        </is>
      </c>
      <c r="D133" t="n">
        <v>19.5</v>
      </c>
      <c r="E133" t="b">
        <v>1</v>
      </c>
      <c r="F133" t="n">
        <v>0.6413043478260869</v>
      </c>
      <c r="G133" t="n">
        <v>1.553037947907305</v>
      </c>
      <c r="H133" t="n">
        <v>0</v>
      </c>
      <c r="I133" t="n">
        <v>30.28423998419244</v>
      </c>
    </row>
    <row r="134">
      <c r="A134" t="b">
        <v>0</v>
      </c>
      <c r="B134" t="n">
        <v>0.5</v>
      </c>
      <c r="C134" t="inlineStr">
        <is>
          <t>SALGAMLI DEVLET ORMANI</t>
        </is>
      </c>
      <c r="D134" t="n">
        <v>0</v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b">
        <v>0</v>
      </c>
      <c r="B135" t="n">
        <v>0.5</v>
      </c>
      <c r="C135" t="inlineStr">
        <is>
          <t>TEFERRUC TEPE ORMANI</t>
        </is>
      </c>
      <c r="D135" t="n">
        <v>0</v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b">
        <v>0</v>
      </c>
      <c r="B136" t="n">
        <v>0.5</v>
      </c>
      <c r="C136" t="inlineStr">
        <is>
          <t>TURGUT REIS</t>
        </is>
      </c>
      <c r="D136" t="n">
        <v>6.9</v>
      </c>
      <c r="E136" t="b">
        <v>0</v>
      </c>
      <c r="F136" t="n">
        <v>0</v>
      </c>
      <c r="G136" t="n">
        <v>0.9173388590381467</v>
      </c>
      <c r="H136" t="n">
        <v>0</v>
      </c>
      <c r="I136" t="n">
        <v>6.329638127363213</v>
      </c>
    </row>
    <row r="137">
      <c r="A137" t="b">
        <v>0</v>
      </c>
      <c r="B137" t="n">
        <v>0.5</v>
      </c>
      <c r="C137" t="inlineStr">
        <is>
          <t>YAVUZ SELIM</t>
        </is>
      </c>
      <c r="D137" t="n">
        <v>17.2</v>
      </c>
      <c r="E137" t="b">
        <v>1</v>
      </c>
      <c r="F137" t="n">
        <v>0.6246376811594203</v>
      </c>
      <c r="G137" t="n">
        <v>2.329646355676187</v>
      </c>
      <c r="H137" t="n">
        <v>0</v>
      </c>
      <c r="I137" t="n">
        <v>40.06991731763041</v>
      </c>
    </row>
    <row r="138">
      <c r="A138" t="b">
        <v>0</v>
      </c>
      <c r="B138" t="n">
        <v>0.75</v>
      </c>
      <c r="C138" t="inlineStr">
        <is>
          <t>ABDURRAHMANGAZI</t>
        </is>
      </c>
      <c r="D138" t="n">
        <v>34.5</v>
      </c>
      <c r="E138" t="b">
        <v>1</v>
      </c>
      <c r="F138" t="n">
        <v>0.875</v>
      </c>
      <c r="G138" t="n">
        <v>2.165690401727638</v>
      </c>
      <c r="H138" t="n">
        <v>0</v>
      </c>
      <c r="I138" t="n">
        <v>74.7163188596035</v>
      </c>
    </row>
    <row r="139">
      <c r="A139" t="b">
        <v>0</v>
      </c>
      <c r="B139" t="n">
        <v>0.75</v>
      </c>
      <c r="C139" t="inlineStr">
        <is>
          <t>ADIL</t>
        </is>
      </c>
      <c r="D139" t="n">
        <v>3.4</v>
      </c>
      <c r="E139" t="b">
        <v>0</v>
      </c>
      <c r="F139" t="n">
        <v>0</v>
      </c>
      <c r="G139" t="n">
        <v>0.2359040357165353</v>
      </c>
      <c r="H139" t="n">
        <v>0</v>
      </c>
      <c r="I139" t="n">
        <v>0.8020737214362199</v>
      </c>
    </row>
    <row r="140">
      <c r="A140" t="b">
        <v>0</v>
      </c>
      <c r="B140" t="n">
        <v>0.75</v>
      </c>
      <c r="C140" t="inlineStr">
        <is>
          <t>AHMET YESEVI</t>
        </is>
      </c>
      <c r="D140" t="n">
        <v>19.8</v>
      </c>
      <c r="E140" t="b">
        <v>1</v>
      </c>
      <c r="F140" t="n">
        <v>0.7152173913043478</v>
      </c>
      <c r="G140" t="n">
        <v>1.309735754302501</v>
      </c>
      <c r="H140" t="n">
        <v>0</v>
      </c>
      <c r="I140" t="n">
        <v>25.93276793518952</v>
      </c>
    </row>
    <row r="141">
      <c r="A141" t="b">
        <v>0</v>
      </c>
      <c r="B141" t="n">
        <v>0.75</v>
      </c>
      <c r="C141" t="inlineStr">
        <is>
          <t>AKSEMSETTIN</t>
        </is>
      </c>
      <c r="D141" t="n">
        <v>8.9</v>
      </c>
      <c r="E141" t="b">
        <v>0</v>
      </c>
      <c r="F141" t="n">
        <v>0</v>
      </c>
      <c r="G141" t="n">
        <v>0.9433993239063316</v>
      </c>
      <c r="H141" t="n">
        <v>0</v>
      </c>
      <c r="I141" t="n">
        <v>8.396253982766352</v>
      </c>
    </row>
    <row r="142">
      <c r="A142" t="b">
        <v>0</v>
      </c>
      <c r="B142" t="n">
        <v>0.75</v>
      </c>
      <c r="C142" t="inlineStr">
        <is>
          <t>BATTALGAZI</t>
        </is>
      </c>
      <c r="D142" t="n">
        <v>18.4</v>
      </c>
      <c r="E142" t="b">
        <v>1</v>
      </c>
      <c r="F142" t="n">
        <v>0.7</v>
      </c>
      <c r="G142" t="n">
        <v>0.7340702535812724</v>
      </c>
      <c r="H142" t="n">
        <v>0</v>
      </c>
      <c r="I142" t="n">
        <v>13.50689266589541</v>
      </c>
    </row>
    <row r="143">
      <c r="A143" t="b">
        <v>0</v>
      </c>
      <c r="B143" t="n">
        <v>0.75</v>
      </c>
      <c r="C143" t="inlineStr">
        <is>
          <t>FATIH</t>
        </is>
      </c>
      <c r="D143" t="n">
        <v>17</v>
      </c>
      <c r="E143" t="b">
        <v>1</v>
      </c>
      <c r="F143" t="n">
        <v>0.6847826086956522</v>
      </c>
      <c r="G143" t="n">
        <v>2.996852303506733</v>
      </c>
      <c r="H143" t="n">
        <v>0</v>
      </c>
      <c r="I143" t="n">
        <v>50.94648915961447</v>
      </c>
    </row>
    <row r="144">
      <c r="A144" t="b">
        <v>0</v>
      </c>
      <c r="B144" t="n">
        <v>0.75</v>
      </c>
      <c r="C144" t="inlineStr">
        <is>
          <t>HAMIDIYE</t>
        </is>
      </c>
      <c r="D144" t="n">
        <v>32.7</v>
      </c>
      <c r="E144" t="b">
        <v>1</v>
      </c>
      <c r="F144" t="n">
        <v>0.8554347826086957</v>
      </c>
      <c r="G144" t="n">
        <v>2.875330907629694</v>
      </c>
      <c r="H144" t="n">
        <v>0</v>
      </c>
      <c r="I144" t="n">
        <v>94.02332067949099</v>
      </c>
    </row>
    <row r="145">
      <c r="A145" t="b">
        <v>0</v>
      </c>
      <c r="B145" t="n">
        <v>0.75</v>
      </c>
      <c r="C145" t="inlineStr">
        <is>
          <t>HASANPASA</t>
        </is>
      </c>
      <c r="D145" t="n">
        <v>15.1</v>
      </c>
      <c r="E145" t="b">
        <v>1</v>
      </c>
      <c r="F145" t="n">
        <v>0.6641304347826087</v>
      </c>
      <c r="G145" t="n">
        <v>0.6942302362560147</v>
      </c>
      <c r="H145" t="n">
        <v>0</v>
      </c>
      <c r="I145" t="n">
        <v>10.48287656746582</v>
      </c>
    </row>
    <row r="146">
      <c r="A146" t="b">
        <v>0</v>
      </c>
      <c r="B146" t="n">
        <v>0.75</v>
      </c>
      <c r="C146" t="inlineStr">
        <is>
          <t>MECIDIYE</t>
        </is>
      </c>
      <c r="D146" t="n">
        <v>15.5</v>
      </c>
      <c r="E146" t="b">
        <v>1</v>
      </c>
      <c r="F146" t="n">
        <v>0.6684782608695652</v>
      </c>
      <c r="G146" t="n">
        <v>0.6698075543946341</v>
      </c>
      <c r="H146" t="n">
        <v>0</v>
      </c>
      <c r="I146" t="n">
        <v>10.38201709311683</v>
      </c>
    </row>
    <row r="147">
      <c r="A147" t="b">
        <v>0</v>
      </c>
      <c r="B147" t="n">
        <v>0.75</v>
      </c>
      <c r="C147" t="inlineStr">
        <is>
          <t>MEHMET AKIF</t>
        </is>
      </c>
      <c r="D147" t="n">
        <v>31</v>
      </c>
      <c r="E147" t="b">
        <v>1</v>
      </c>
      <c r="F147" t="n">
        <v>0.8369565217391304</v>
      </c>
      <c r="G147" t="n">
        <v>2.988465203740918</v>
      </c>
      <c r="H147" t="n">
        <v>0</v>
      </c>
      <c r="I147" t="n">
        <v>92.64242131596845</v>
      </c>
    </row>
    <row r="148">
      <c r="A148" t="b">
        <v>0</v>
      </c>
      <c r="B148" t="n">
        <v>0.75</v>
      </c>
      <c r="C148" t="inlineStr">
        <is>
          <t>MIMAR SINAN</t>
        </is>
      </c>
      <c r="D148" t="n">
        <v>3.9</v>
      </c>
      <c r="E148" t="b">
        <v>0</v>
      </c>
      <c r="F148" t="n">
        <v>0</v>
      </c>
      <c r="G148" t="n">
        <v>0.06155147209485337</v>
      </c>
      <c r="H148" t="n">
        <v>0</v>
      </c>
      <c r="I148" t="n">
        <v>0.2400507411699281</v>
      </c>
    </row>
    <row r="149">
      <c r="A149" t="b">
        <v>0</v>
      </c>
      <c r="B149" t="n">
        <v>0.75</v>
      </c>
      <c r="C149" t="inlineStr">
        <is>
          <t>NECIP FAZIL</t>
        </is>
      </c>
      <c r="D149" t="n">
        <v>17.6</v>
      </c>
      <c r="E149" t="b">
        <v>1</v>
      </c>
      <c r="F149" t="n">
        <v>0.691304347826087</v>
      </c>
      <c r="G149" t="n">
        <v>0.7082424139556518</v>
      </c>
      <c r="H149" t="n">
        <v>0</v>
      </c>
      <c r="I149" t="n">
        <v>12.46506648561947</v>
      </c>
    </row>
    <row r="150">
      <c r="A150" t="b">
        <v>0</v>
      </c>
      <c r="B150" t="n">
        <v>0.75</v>
      </c>
      <c r="C150" t="inlineStr">
        <is>
          <t>ORHANGAZI</t>
        </is>
      </c>
      <c r="D150" t="n">
        <v>19.5</v>
      </c>
      <c r="E150" t="b">
        <v>1</v>
      </c>
      <c r="F150" t="n">
        <v>0.7119565217391304</v>
      </c>
      <c r="G150" t="n">
        <v>1.553037947907305</v>
      </c>
      <c r="H150" t="n">
        <v>0</v>
      </c>
      <c r="I150" t="n">
        <v>30.28423998419244</v>
      </c>
    </row>
    <row r="151">
      <c r="A151" t="b">
        <v>0</v>
      </c>
      <c r="B151" t="n">
        <v>0.75</v>
      </c>
      <c r="C151" t="inlineStr">
        <is>
          <t>SALGAMLI DEVLET ORMANI</t>
        </is>
      </c>
      <c r="D151" t="n">
        <v>0</v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b">
        <v>0</v>
      </c>
      <c r="B152" t="n">
        <v>0.75</v>
      </c>
      <c r="C152" t="inlineStr">
        <is>
          <t>TEFERRUC TEPE ORMANI</t>
        </is>
      </c>
      <c r="D152" t="n">
        <v>0</v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b">
        <v>0</v>
      </c>
      <c r="B153" t="n">
        <v>0.75</v>
      </c>
      <c r="C153" t="inlineStr">
        <is>
          <t>TURGUT REIS</t>
        </is>
      </c>
      <c r="D153" t="n">
        <v>6.9</v>
      </c>
      <c r="E153" t="b">
        <v>0</v>
      </c>
      <c r="F153" t="n">
        <v>0</v>
      </c>
      <c r="G153" t="n">
        <v>0.9173388590381467</v>
      </c>
      <c r="H153" t="n">
        <v>0</v>
      </c>
      <c r="I153" t="n">
        <v>6.329638127363213</v>
      </c>
    </row>
    <row r="154">
      <c r="A154" t="b">
        <v>0</v>
      </c>
      <c r="B154" t="n">
        <v>0.75</v>
      </c>
      <c r="C154" t="inlineStr">
        <is>
          <t>YAVUZ SELIM</t>
        </is>
      </c>
      <c r="D154" t="n">
        <v>17.2</v>
      </c>
      <c r="E154" t="b">
        <v>1</v>
      </c>
      <c r="F154" t="n">
        <v>0.6869565217391305</v>
      </c>
      <c r="G154" t="n">
        <v>2.329646355676187</v>
      </c>
      <c r="H154" t="n">
        <v>0</v>
      </c>
      <c r="I154" t="n">
        <v>40.06991731763041</v>
      </c>
    </row>
    <row r="155">
      <c r="A155" t="b">
        <v>0</v>
      </c>
      <c r="B155" t="n">
        <v>1</v>
      </c>
      <c r="C155" t="inlineStr">
        <is>
          <t>ABDURRAHMANGAZI</t>
        </is>
      </c>
      <c r="D155" t="n">
        <v>34.5</v>
      </c>
      <c r="E155" t="b">
        <v>1</v>
      </c>
      <c r="F155" t="n">
        <v>1</v>
      </c>
      <c r="G155" t="n">
        <v>2.447093125356117</v>
      </c>
      <c r="H155" t="n">
        <v>0</v>
      </c>
      <c r="I155" t="n">
        <v>84.42471282478604</v>
      </c>
    </row>
    <row r="156">
      <c r="A156" t="b">
        <v>0</v>
      </c>
      <c r="B156" t="n">
        <v>1</v>
      </c>
      <c r="C156" t="inlineStr">
        <is>
          <t>ADIL</t>
        </is>
      </c>
      <c r="D156" t="n">
        <v>3.4</v>
      </c>
      <c r="E156" t="b">
        <v>0</v>
      </c>
      <c r="F156" t="n">
        <v>0</v>
      </c>
      <c r="G156" t="n">
        <v>0.5354178992391204</v>
      </c>
      <c r="H156" t="n">
        <v>0</v>
      </c>
      <c r="I156" t="n">
        <v>1.820420857413009</v>
      </c>
    </row>
    <row r="157">
      <c r="A157" t="b">
        <v>0</v>
      </c>
      <c r="B157" t="n">
        <v>1</v>
      </c>
      <c r="C157" t="inlineStr">
        <is>
          <t>AHMET YESEVI</t>
        </is>
      </c>
      <c r="D157" t="n">
        <v>19.8</v>
      </c>
      <c r="E157" t="b">
        <v>1</v>
      </c>
      <c r="F157" t="n">
        <v>0.7869565217391304</v>
      </c>
      <c r="G157" t="n">
        <v>0.8501555855376687</v>
      </c>
      <c r="H157" t="n">
        <v>0</v>
      </c>
      <c r="I157" t="n">
        <v>16.83308059364584</v>
      </c>
    </row>
    <row r="158">
      <c r="A158" t="b">
        <v>0</v>
      </c>
      <c r="B158" t="n">
        <v>1</v>
      </c>
      <c r="C158" t="inlineStr">
        <is>
          <t>AKSEMSETTIN</t>
        </is>
      </c>
      <c r="D158" t="n">
        <v>8.9</v>
      </c>
      <c r="E158" t="b">
        <v>0</v>
      </c>
      <c r="F158" t="n">
        <v>0</v>
      </c>
      <c r="G158" t="n">
        <v>1.324427149938963</v>
      </c>
      <c r="H158" t="n">
        <v>0</v>
      </c>
      <c r="I158" t="n">
        <v>11.78740163445677</v>
      </c>
    </row>
    <row r="159">
      <c r="A159" t="b">
        <v>0</v>
      </c>
      <c r="B159" t="n">
        <v>1</v>
      </c>
      <c r="C159" t="inlineStr">
        <is>
          <t>BATTALGAZI</t>
        </is>
      </c>
      <c r="D159" t="n">
        <v>18.4</v>
      </c>
      <c r="E159" t="b">
        <v>1</v>
      </c>
      <c r="F159" t="n">
        <v>0.7666666666666666</v>
      </c>
      <c r="G159" t="n">
        <v>0.8990008247820548</v>
      </c>
      <c r="H159" t="n">
        <v>0</v>
      </c>
      <c r="I159" t="n">
        <v>16.54161517598981</v>
      </c>
    </row>
    <row r="160">
      <c r="A160" t="b">
        <v>0</v>
      </c>
      <c r="B160" t="n">
        <v>1</v>
      </c>
      <c r="C160" t="inlineStr">
        <is>
          <t>FATIH</t>
        </is>
      </c>
      <c r="D160" t="n">
        <v>17</v>
      </c>
      <c r="E160" t="b">
        <v>1</v>
      </c>
      <c r="F160" t="n">
        <v>0.7463768115942029</v>
      </c>
      <c r="G160" t="n">
        <v>1.826453085479877</v>
      </c>
      <c r="H160" t="n">
        <v>0</v>
      </c>
      <c r="I160" t="n">
        <v>31.04970245315791</v>
      </c>
    </row>
    <row r="161">
      <c r="A161" t="b">
        <v>0</v>
      </c>
      <c r="B161" t="n">
        <v>1</v>
      </c>
      <c r="C161" t="inlineStr">
        <is>
          <t>HAMIDIYE</t>
        </is>
      </c>
      <c r="D161" t="n">
        <v>32.7</v>
      </c>
      <c r="E161" t="b">
        <v>1</v>
      </c>
      <c r="F161" t="n">
        <v>0.9739130434782609</v>
      </c>
      <c r="G161" t="n">
        <v>3.323498316776198</v>
      </c>
      <c r="H161" t="n">
        <v>0</v>
      </c>
      <c r="I161" t="n">
        <v>108.6783949585817</v>
      </c>
    </row>
    <row r="162">
      <c r="A162" t="b">
        <v>0</v>
      </c>
      <c r="B162" t="n">
        <v>1</v>
      </c>
      <c r="C162" t="inlineStr">
        <is>
          <t>HASANPASA</t>
        </is>
      </c>
      <c r="D162" t="n">
        <v>15.1</v>
      </c>
      <c r="E162" t="b">
        <v>1</v>
      </c>
      <c r="F162" t="n">
        <v>0.7188405797101449</v>
      </c>
      <c r="G162" t="n">
        <v>1.098059877939882</v>
      </c>
      <c r="H162" t="n">
        <v>0</v>
      </c>
      <c r="I162" t="n">
        <v>16.58070415689221</v>
      </c>
    </row>
    <row r="163">
      <c r="A163" t="b">
        <v>0</v>
      </c>
      <c r="B163" t="n">
        <v>1</v>
      </c>
      <c r="C163" t="inlineStr">
        <is>
          <t>MECIDIYE</t>
        </is>
      </c>
      <c r="D163" t="n">
        <v>15.5</v>
      </c>
      <c r="E163" t="b">
        <v>1</v>
      </c>
      <c r="F163" t="n">
        <v>0.7246376811594203</v>
      </c>
      <c r="G163" t="n">
        <v>1.032689527946468</v>
      </c>
      <c r="H163" t="n">
        <v>0</v>
      </c>
      <c r="I163" t="n">
        <v>16.00668768317026</v>
      </c>
    </row>
    <row r="164">
      <c r="A164" t="b">
        <v>0</v>
      </c>
      <c r="B164" t="n">
        <v>1</v>
      </c>
      <c r="C164" t="inlineStr">
        <is>
          <t>MEHMET AKIF</t>
        </is>
      </c>
      <c r="D164" t="n">
        <v>31</v>
      </c>
      <c r="E164" t="b">
        <v>1</v>
      </c>
      <c r="F164" t="n">
        <v>0.9492753623188406</v>
      </c>
      <c r="G164" t="n">
        <v>2.312432082865706</v>
      </c>
      <c r="H164" t="n">
        <v>0</v>
      </c>
      <c r="I164" t="n">
        <v>71.68539456883688</v>
      </c>
    </row>
    <row r="165">
      <c r="A165" t="b">
        <v>0</v>
      </c>
      <c r="B165" t="n">
        <v>1</v>
      </c>
      <c r="C165" t="inlineStr">
        <is>
          <t>MIMAR SINAN</t>
        </is>
      </c>
      <c r="D165" t="n">
        <v>3.9</v>
      </c>
      <c r="E165" t="b">
        <v>0</v>
      </c>
      <c r="F165" t="n">
        <v>0</v>
      </c>
      <c r="G165" t="n">
        <v>0.2874047653867665</v>
      </c>
      <c r="H165" t="n">
        <v>0</v>
      </c>
      <c r="I165" t="n">
        <v>1.120878585008389</v>
      </c>
    </row>
    <row r="166">
      <c r="A166" t="b">
        <v>0</v>
      </c>
      <c r="B166" t="n">
        <v>1</v>
      </c>
      <c r="C166" t="inlineStr">
        <is>
          <t>NECIP FAZIL</t>
        </is>
      </c>
      <c r="D166" t="n">
        <v>17.6</v>
      </c>
      <c r="E166" t="b">
        <v>1</v>
      </c>
      <c r="F166" t="n">
        <v>0.755072463768116</v>
      </c>
      <c r="G166" t="n">
        <v>0.9576383234407424</v>
      </c>
      <c r="H166" t="n">
        <v>0</v>
      </c>
      <c r="I166" t="n">
        <v>16.85443449255707</v>
      </c>
    </row>
    <row r="167">
      <c r="A167" t="b">
        <v>0</v>
      </c>
      <c r="B167" t="n">
        <v>1</v>
      </c>
      <c r="C167" t="inlineStr">
        <is>
          <t>ORHANGAZI</t>
        </is>
      </c>
      <c r="D167" t="n">
        <v>19.5</v>
      </c>
      <c r="E167" t="b">
        <v>1</v>
      </c>
      <c r="F167" t="n">
        <v>0.7826086956521738</v>
      </c>
      <c r="G167" t="n">
        <v>2.03606992441761</v>
      </c>
      <c r="H167" t="n">
        <v>0</v>
      </c>
      <c r="I167" t="n">
        <v>39.70336352614341</v>
      </c>
    </row>
    <row r="168">
      <c r="A168" t="b">
        <v>0</v>
      </c>
      <c r="B168" t="n">
        <v>1</v>
      </c>
      <c r="C168" t="inlineStr">
        <is>
          <t>SALGAMLI DEVLET ORMANI</t>
        </is>
      </c>
      <c r="D168" t="n">
        <v>0</v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b">
        <v>0</v>
      </c>
      <c r="B169" t="n">
        <v>1</v>
      </c>
      <c r="C169" t="inlineStr">
        <is>
          <t>TEFERRUC TEPE ORMANI</t>
        </is>
      </c>
      <c r="D169" t="n">
        <v>0</v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b">
        <v>0</v>
      </c>
      <c r="B170" t="n">
        <v>1</v>
      </c>
      <c r="C170" t="inlineStr">
        <is>
          <t>TURGUT REIS</t>
        </is>
      </c>
      <c r="D170" t="n">
        <v>6.9</v>
      </c>
      <c r="E170" t="b">
        <v>0</v>
      </c>
      <c r="F170" t="n">
        <v>0</v>
      </c>
      <c r="G170" t="n">
        <v>0.4814226783335758</v>
      </c>
      <c r="H170" t="n">
        <v>0</v>
      </c>
      <c r="I170" t="n">
        <v>3.321816480501673</v>
      </c>
    </row>
    <row r="171">
      <c r="A171" t="b">
        <v>0</v>
      </c>
      <c r="B171" t="n">
        <v>1</v>
      </c>
      <c r="C171" t="inlineStr">
        <is>
          <t>YAVUZ SELIM</t>
        </is>
      </c>
      <c r="D171" t="n">
        <v>17.2</v>
      </c>
      <c r="E171" t="b">
        <v>1</v>
      </c>
      <c r="F171" t="n">
        <v>0.7492753623188406</v>
      </c>
      <c r="G171" t="n">
        <v>1.706661191568257</v>
      </c>
      <c r="H171" t="n">
        <v>0</v>
      </c>
      <c r="I171" t="n">
        <v>29.35457249497402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34" customWidth="1" min="9" max="9"/>
    <col width="34" customWidth="1" min="10" max="10"/>
  </cols>
  <sheetData>
    <row r="1">
      <c r="A1" s="3" t="inlineStr">
        <is>
          <t>use_mevcut</t>
        </is>
      </c>
      <c r="B1" s="3" t="inlineStr">
        <is>
          <t>Z_star</t>
        </is>
      </c>
      <c r="C1" s="3" t="inlineStr">
        <is>
          <t>Z_stage2</t>
        </is>
      </c>
      <c r="D1" s="3" t="inlineStr">
        <is>
          <t>E_stage1</t>
        </is>
      </c>
      <c r="E1" s="3" t="inlineStr">
        <is>
          <t>E_stage2</t>
        </is>
      </c>
      <c r="F1" s="3" t="inlineStr">
        <is>
          <t>delta_E</t>
        </is>
      </c>
      <c r="G1" s="3" t="inlineStr">
        <is>
          <t>rho_stage1</t>
        </is>
      </c>
      <c r="H1" s="3" t="inlineStr">
        <is>
          <t>rho_stage2</t>
        </is>
      </c>
      <c r="I1" s="3" t="inlineStr">
        <is>
          <t>sels_stage1</t>
        </is>
      </c>
      <c r="J1" s="3" t="inlineStr">
        <is>
          <t>sels_stage2</t>
        </is>
      </c>
    </row>
    <row r="2">
      <c r="A2" t="b">
        <v>1</v>
      </c>
      <c r="B2" t="n">
        <v>935.621364672892</v>
      </c>
      <c r="C2" t="n">
        <v>935.621364672892</v>
      </c>
      <c r="D2" t="n">
        <v>27.11945984559108</v>
      </c>
      <c r="E2" t="n">
        <v>14.68196478894914</v>
      </c>
      <c r="F2" t="n">
        <v>-12.43749505664194</v>
      </c>
      <c r="G2" t="n">
        <v>0.6714285714285713</v>
      </c>
      <c r="H2" t="n">
        <v>0.6714285714285713</v>
      </c>
      <c r="I2" t="inlineStr">
        <is>
          <t>[4, 59, 60, 61, 62, 83, 88, 141]</t>
        </is>
      </c>
      <c r="J2" t="inlineStr">
        <is>
          <t>[4, 59, 60, 61, 62, 83, 88, 141]</t>
        </is>
      </c>
    </row>
    <row r="3">
      <c r="A3" t="b">
        <v>0</v>
      </c>
      <c r="B3" t="n">
        <v>472.1306345154283</v>
      </c>
      <c r="C3" t="n">
        <v>472.1306345154283</v>
      </c>
      <c r="D3" t="n">
        <v>13.68494592798343</v>
      </c>
      <c r="E3" t="n">
        <v>13.68494592798343</v>
      </c>
      <c r="F3" t="n">
        <v>0</v>
      </c>
      <c r="G3" t="n">
        <v>0.7142857142857142</v>
      </c>
      <c r="H3" t="n">
        <v>0.7142857142857142</v>
      </c>
      <c r="I3" t="inlineStr">
        <is>
          <t>[4, 38, 59, 60, 62, 83, 88, 141]</t>
        </is>
      </c>
      <c r="J3" t="inlineStr">
        <is>
          <t>[4, 38, 59, 60, 62, 83, 88, 141]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19" customWidth="1" min="4" max="4"/>
    <col width="20" customWidth="1" min="5" max="5"/>
    <col width="22" customWidth="1" min="6" max="6"/>
    <col width="17" customWidth="1" min="7" max="7"/>
  </cols>
  <sheetData>
    <row r="1">
      <c r="A1" s="3" t="inlineStr">
        <is>
          <t>scenario</t>
        </is>
      </c>
      <c r="B1" s="3" t="inlineStr">
        <is>
          <t>Z_reference</t>
        </is>
      </c>
      <c r="C1" s="3" t="inlineStr">
        <is>
          <t>sum_coverage</t>
        </is>
      </c>
      <c r="D1" s="3" t="inlineStr">
        <is>
          <t>sum_RxC</t>
        </is>
      </c>
      <c r="E1" s="3" t="inlineStr">
        <is>
          <t>spearman_rho</t>
        </is>
      </c>
      <c r="F1" s="3" t="inlineStr">
        <is>
          <t>max_coverage_mahalle</t>
        </is>
      </c>
      <c r="G1" s="3" t="inlineStr">
        <is>
          <t>max_R_mahalle</t>
        </is>
      </c>
    </row>
    <row r="2">
      <c r="A2" t="inlineStr">
        <is>
          <t>Orig</t>
        </is>
      </c>
      <c r="B2" t="inlineStr">
        <is>
          <t>see KPI sheet</t>
        </is>
      </c>
      <c r="C2" t="n">
        <v>12.171</v>
      </c>
      <c r="D2" t="n">
        <v>220.38</v>
      </c>
      <c r="E2" t="n">
        <v>0.2486587163042157</v>
      </c>
      <c r="F2" t="inlineStr">
        <is>
          <t>HAMIDIYE</t>
        </is>
      </c>
      <c r="G2" t="inlineStr">
        <is>
          <t>ABDURRAHMANGAZI</t>
        </is>
      </c>
    </row>
    <row r="3">
      <c r="A3" t="inlineStr">
        <is>
          <t>CA1</t>
        </is>
      </c>
      <c r="B3" t="inlineStr">
        <is>
          <t>see KPI sheet</t>
        </is>
      </c>
      <c r="C3" t="n">
        <v>45.54013752371351</v>
      </c>
      <c r="D3" t="n">
        <v>935.6213646728922</v>
      </c>
      <c r="E3" t="n">
        <v>0.6714285714285713</v>
      </c>
      <c r="F3" t="inlineStr">
        <is>
          <t>HAMIDIYE</t>
        </is>
      </c>
      <c r="G3" t="inlineStr">
        <is>
          <t>ABDURRAHMANGAZI</t>
        </is>
      </c>
    </row>
    <row r="4">
      <c r="A4" t="inlineStr">
        <is>
          <t>CA2</t>
        </is>
      </c>
      <c r="B4" t="inlineStr">
        <is>
          <t>see KPI sheet</t>
        </is>
      </c>
      <c r="C4" t="n">
        <v>45.01588563834498</v>
      </c>
      <c r="D4" t="n">
        <v>908.3411621418481</v>
      </c>
      <c r="E4" t="n">
        <v>0.6142857142857142</v>
      </c>
      <c r="F4" t="inlineStr">
        <is>
          <t>FATIH</t>
        </is>
      </c>
      <c r="G4" t="inlineStr">
        <is>
          <t>ABDURRAHMANGAZI</t>
        </is>
      </c>
    </row>
    <row r="5">
      <c r="A5" t="inlineStr">
        <is>
          <t>CA3</t>
        </is>
      </c>
      <c r="B5" t="inlineStr">
        <is>
          <t>see KPI sheet</t>
        </is>
      </c>
      <c r="C5" t="n">
        <v>52.20599211589127</v>
      </c>
      <c r="D5" t="n">
        <v>1142.555479165727</v>
      </c>
      <c r="E5" t="n">
        <v>0.5464285714285714</v>
      </c>
      <c r="F5" t="inlineStr">
        <is>
          <t>FATIH</t>
        </is>
      </c>
      <c r="G5" t="inlineStr">
        <is>
          <t>ABDURRAHMANGAZI</t>
        </is>
      </c>
    </row>
    <row r="6">
      <c r="A6" t="inlineStr">
        <is>
          <t>CA4</t>
        </is>
      </c>
      <c r="B6" t="inlineStr">
        <is>
          <t>see KPI sheet</t>
        </is>
      </c>
      <c r="C6" t="n">
        <v>54.82699502782317</v>
      </c>
      <c r="D6" t="n">
        <v>1201.223733496643</v>
      </c>
      <c r="E6" t="n">
        <v>0.5464285714285714</v>
      </c>
      <c r="F6" t="inlineStr">
        <is>
          <t>FATIH</t>
        </is>
      </c>
      <c r="G6" t="inlineStr">
        <is>
          <t>ABDURRAHMANGAZI</t>
        </is>
      </c>
    </row>
    <row r="7">
      <c r="A7" t="inlineStr">
        <is>
          <t>CA5</t>
        </is>
      </c>
      <c r="B7" t="inlineStr">
        <is>
          <t>see KPI sheet</t>
        </is>
      </c>
      <c r="C7" t="n">
        <v>52.20599211589127</v>
      </c>
      <c r="D7" t="n">
        <v>1142.555479165727</v>
      </c>
      <c r="E7" t="n">
        <v>0.5464285714285714</v>
      </c>
      <c r="F7" t="inlineStr">
        <is>
          <t>FATIH</t>
        </is>
      </c>
      <c r="G7" t="inlineStr">
        <is>
          <t>ABDURRAHMANGAZI</t>
        </is>
      </c>
    </row>
    <row r="8">
      <c r="A8" t="inlineStr">
        <is>
          <t>CA6</t>
        </is>
      </c>
      <c r="B8" t="inlineStr">
        <is>
          <t>see KPI sheet</t>
        </is>
      </c>
      <c r="C8" t="n">
        <v>54.82699502782317</v>
      </c>
      <c r="D8" t="n">
        <v>1201.223733496643</v>
      </c>
      <c r="E8" t="n">
        <v>0.5464285714285714</v>
      </c>
      <c r="F8" t="inlineStr">
        <is>
          <t>FATIH</t>
        </is>
      </c>
      <c r="G8" t="inlineStr">
        <is>
          <t>ABDURRAHMANGAZI</t>
        </is>
      </c>
    </row>
    <row r="9">
      <c r="A9" t="inlineStr">
        <is>
          <t>CA7a-NMEV-g000</t>
        </is>
      </c>
      <c r="B9" t="inlineStr">
        <is>
          <t>see gamma_sweep_results</t>
        </is>
      </c>
      <c r="C9" t="n">
        <v>21.14680538015932</v>
      </c>
      <c r="D9" t="n">
        <v>472.1306345154283</v>
      </c>
      <c r="E9" t="n">
        <v>0.7142857142857142</v>
      </c>
      <c r="F9" t="inlineStr">
        <is>
          <t>HAMIDIYE</t>
        </is>
      </c>
      <c r="G9" t="inlineStr">
        <is>
          <t>ABDURRAHMANGAZI</t>
        </is>
      </c>
    </row>
    <row r="10">
      <c r="A10" t="inlineStr">
        <is>
          <t>CA7a-NMEV-g025</t>
        </is>
      </c>
      <c r="B10" t="inlineStr">
        <is>
          <t>see gamma_sweep_results</t>
        </is>
      </c>
      <c r="C10" t="n">
        <v>21.14680538015932</v>
      </c>
      <c r="D10" t="n">
        <v>472.1306345154283</v>
      </c>
      <c r="E10" t="n">
        <v>0.7142857142857142</v>
      </c>
      <c r="F10" t="inlineStr">
        <is>
          <t>HAMIDIYE</t>
        </is>
      </c>
      <c r="G10" t="inlineStr">
        <is>
          <t>ABDURRAHMANGAZI</t>
        </is>
      </c>
    </row>
    <row r="11">
      <c r="A11" t="inlineStr">
        <is>
          <t>CA7a-NMEV-g050</t>
        </is>
      </c>
      <c r="B11" t="inlineStr">
        <is>
          <t>see gamma_sweep_results</t>
        </is>
      </c>
      <c r="C11" t="n">
        <v>21.18330302343442</v>
      </c>
      <c r="D11" t="n">
        <v>471.2203446365231</v>
      </c>
      <c r="E11" t="n">
        <v>0.6714285714285713</v>
      </c>
      <c r="F11" t="inlineStr">
        <is>
          <t>FATIH</t>
        </is>
      </c>
      <c r="G11" t="inlineStr">
        <is>
          <t>ABDURRAHMANGAZI</t>
        </is>
      </c>
    </row>
    <row r="12">
      <c r="A12" t="inlineStr">
        <is>
          <t>CA7a-NMEV-g075</t>
        </is>
      </c>
      <c r="B12" t="inlineStr">
        <is>
          <t>see gamma_sweep_results</t>
        </is>
      </c>
      <c r="C12" t="n">
        <v>21.18330302343442</v>
      </c>
      <c r="D12" t="n">
        <v>471.2203446365231</v>
      </c>
      <c r="E12" t="n">
        <v>0.6714285714285713</v>
      </c>
      <c r="F12" t="inlineStr">
        <is>
          <t>FATIH</t>
        </is>
      </c>
      <c r="G12" t="inlineStr">
        <is>
          <t>ABDURRAHMANGAZI</t>
        </is>
      </c>
    </row>
    <row r="13">
      <c r="A13" t="inlineStr">
        <is>
          <t>CA7a-NMEV-g100</t>
        </is>
      </c>
      <c r="B13" t="inlineStr">
        <is>
          <t>see gamma_sweep_results</t>
        </is>
      </c>
      <c r="C13" t="n">
        <v>21.11842435900901</v>
      </c>
      <c r="D13" t="n">
        <v>465.7631804861149</v>
      </c>
      <c r="E13" t="n">
        <v>0.7107142857142856</v>
      </c>
      <c r="F13" t="inlineStr">
        <is>
          <t>HAMIDIYE</t>
        </is>
      </c>
      <c r="G13" t="inlineStr">
        <is>
          <t>ABDURRAHMANGAZI</t>
        </is>
      </c>
    </row>
    <row r="14">
      <c r="A14" t="inlineStr">
        <is>
          <t>CA7a-MEV-g000</t>
        </is>
      </c>
      <c r="B14" t="inlineStr">
        <is>
          <t>see gamma_sweep_results</t>
        </is>
      </c>
      <c r="C14" t="n">
        <v>45.54013752371351</v>
      </c>
      <c r="D14" t="n">
        <v>935.6213646728922</v>
      </c>
      <c r="E14" t="n">
        <v>0.6714285714285713</v>
      </c>
      <c r="F14" t="inlineStr">
        <is>
          <t>HAMIDIYE</t>
        </is>
      </c>
      <c r="G14" t="inlineStr">
        <is>
          <t>ABDURRAHMANGAZI</t>
        </is>
      </c>
    </row>
    <row r="15">
      <c r="A15" t="inlineStr">
        <is>
          <t>CA7a-MEV-g025</t>
        </is>
      </c>
      <c r="B15" t="inlineStr">
        <is>
          <t>see gamma_sweep_results</t>
        </is>
      </c>
      <c r="C15" t="n">
        <v>45.54013752371351</v>
      </c>
      <c r="D15" t="n">
        <v>935.6213646728922</v>
      </c>
      <c r="E15" t="n">
        <v>0.6714285714285713</v>
      </c>
      <c r="F15" t="inlineStr">
        <is>
          <t>HAMIDIYE</t>
        </is>
      </c>
      <c r="G15" t="inlineStr">
        <is>
          <t>ABDURRAHMANGAZI</t>
        </is>
      </c>
    </row>
    <row r="16">
      <c r="A16" t="inlineStr">
        <is>
          <t>CA7a-MEV-g050</t>
        </is>
      </c>
      <c r="B16" t="inlineStr">
        <is>
          <t>see gamma_sweep_results</t>
        </is>
      </c>
      <c r="C16" t="n">
        <v>45.54013752371351</v>
      </c>
      <c r="D16" t="n">
        <v>935.6213646728922</v>
      </c>
      <c r="E16" t="n">
        <v>0.6714285714285713</v>
      </c>
      <c r="F16" t="inlineStr">
        <is>
          <t>HAMIDIYE</t>
        </is>
      </c>
      <c r="G16" t="inlineStr">
        <is>
          <t>ABDURRAHMANGAZI</t>
        </is>
      </c>
    </row>
    <row r="17">
      <c r="A17" t="inlineStr">
        <is>
          <t>CA7a-MEV-g075</t>
        </is>
      </c>
      <c r="B17" t="inlineStr">
        <is>
          <t>see gamma_sweep_results</t>
        </is>
      </c>
      <c r="C17" t="n">
        <v>45.54013752371351</v>
      </c>
      <c r="D17" t="n">
        <v>935.6213646728922</v>
      </c>
      <c r="E17" t="n">
        <v>0.6714285714285713</v>
      </c>
      <c r="F17" t="inlineStr">
        <is>
          <t>HAMIDIYE</t>
        </is>
      </c>
      <c r="G17" t="inlineStr">
        <is>
          <t>ABDURRAHMANGAZI</t>
        </is>
      </c>
    </row>
    <row r="18">
      <c r="A18" t="inlineStr">
        <is>
          <t>CA7a-MEV-g100</t>
        </is>
      </c>
      <c r="B18" t="inlineStr">
        <is>
          <t>see gamma_sweep_results</t>
        </is>
      </c>
      <c r="C18" t="n">
        <v>45.54013752371351</v>
      </c>
      <c r="D18" t="n">
        <v>935.6213646728922</v>
      </c>
      <c r="E18" t="n">
        <v>0.6714285714285713</v>
      </c>
      <c r="F18" t="inlineStr">
        <is>
          <t>HAMIDIYE</t>
        </is>
      </c>
      <c r="G18" t="inlineStr">
        <is>
          <t>ABDURRAHMANGAZI</t>
        </is>
      </c>
    </row>
    <row r="19">
      <c r="A19" t="inlineStr">
        <is>
          <t>CA7b-MEV</t>
        </is>
      </c>
      <c r="B19" t="inlineStr">
        <is>
          <t>Z*=935.62, Z_s2=935.62</t>
        </is>
      </c>
      <c r="E19" t="n">
        <v>0.6714285714285713</v>
      </c>
    </row>
    <row r="20">
      <c r="A20" t="inlineStr">
        <is>
          <t>CA7b-NMEV</t>
        </is>
      </c>
      <c r="B20" t="inlineStr">
        <is>
          <t>Z*=472.13, Z_s2=472.13</t>
        </is>
      </c>
      <c r="E20" t="n">
        <v>0.7142857142857142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1" customWidth="1" min="4" max="4"/>
    <col width="21" customWidth="1" min="5" max="5"/>
    <col width="19" customWidth="1" min="6" max="6"/>
    <col width="21" customWidth="1" min="7" max="7"/>
    <col width="21" customWidth="1" min="8" max="8"/>
    <col width="15" customWidth="1" min="9" max="9"/>
  </cols>
  <sheetData>
    <row r="1">
      <c r="A1" s="3" t="inlineStr">
        <is>
          <t>scenario</t>
        </is>
      </c>
      <c r="B1" s="3" t="inlineStr">
        <is>
          <t>w_C1_Damage</t>
        </is>
      </c>
      <c r="C1" s="3" t="inlineStr">
        <is>
          <t>w_C2_Logistics</t>
        </is>
      </c>
      <c r="D1" s="3" t="inlineStr">
        <is>
          <t>w_C3_GapDistance</t>
        </is>
      </c>
      <c r="E1" s="3" t="inlineStr">
        <is>
          <t>w_C4_NightPop</t>
        </is>
      </c>
      <c r="F1" s="3" t="inlineStr">
        <is>
          <t>lambda_max</t>
        </is>
      </c>
      <c r="G1" s="3" t="inlineStr">
        <is>
          <t>CI</t>
        </is>
      </c>
      <c r="H1" s="3" t="inlineStr">
        <is>
          <t>CR</t>
        </is>
      </c>
      <c r="I1" s="3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0" customWidth="1" min="3" max="3"/>
    <col width="17" customWidth="1" min="4" max="4"/>
    <col width="17" customWidth="1" min="5" max="5"/>
    <col width="19" customWidth="1" min="6" max="6"/>
    <col width="19" customWidth="1" min="7" max="7"/>
    <col width="11" customWidth="1" min="8" max="8"/>
    <col width="20" customWidth="1" min="9" max="9"/>
    <col width="19" customWidth="1" min="10" max="10"/>
    <col width="13" customWidth="1" min="11" max="11"/>
    <col width="21" customWidth="1" min="12" max="12"/>
    <col width="21" customWidth="1" min="13" max="13"/>
    <col width="26" customWidth="1" min="14" max="14"/>
  </cols>
  <sheetData>
    <row r="1">
      <c r="A1" s="3" t="inlineStr">
        <is>
          <t>S_No</t>
        </is>
      </c>
      <c r="B1" s="3" t="inlineStr">
        <is>
          <t>AYDES_ID</t>
        </is>
      </c>
      <c r="C1" s="3" t="inlineStr">
        <is>
          <t>Alan_Adi</t>
        </is>
      </c>
      <c r="D1" s="3" t="inlineStr">
        <is>
          <t>Mahalle</t>
        </is>
      </c>
      <c r="E1" s="3" t="inlineStr">
        <is>
          <t>Mahalle_norm</t>
        </is>
      </c>
      <c r="F1" s="3" t="inlineStr">
        <is>
          <t>Enlem</t>
        </is>
      </c>
      <c r="G1" s="3" t="inlineStr">
        <is>
          <t>Boylam</t>
        </is>
      </c>
      <c r="H1" s="3" t="inlineStr">
        <is>
          <t>C1_Damage</t>
        </is>
      </c>
      <c r="I1" s="3" t="inlineStr">
        <is>
          <t>C2_Logistics</t>
        </is>
      </c>
      <c r="J1" s="3" t="inlineStr">
        <is>
          <t>C3_GapDistance_m</t>
        </is>
      </c>
      <c r="K1" s="3" t="inlineStr">
        <is>
          <t>C4_NightPop</t>
        </is>
      </c>
      <c r="L1" s="3" t="inlineStr">
        <is>
          <t>CC_Baseline</t>
        </is>
      </c>
      <c r="M1" s="3" t="inlineStr">
        <is>
          <t>CC_DamageFocused</t>
        </is>
      </c>
      <c r="N1" s="3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0" customWidth="1" min="9" max="9"/>
    <col width="22" customWidth="1" min="10" max="10"/>
    <col width="23" customWidth="1" min="11" max="11"/>
    <col width="23" customWidth="1" min="12" max="12"/>
    <col width="22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1" customWidth="1" min="19" max="19"/>
    <col width="21" customWidth="1" min="20" max="20"/>
    <col width="19" customWidth="1" min="21" max="21"/>
    <col width="12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0" customWidth="1" min="28" max="28"/>
    <col width="22" customWidth="1" min="29" max="29"/>
    <col width="23" customWidth="1" min="30" max="30"/>
    <col width="23" customWidth="1" min="31" max="31"/>
    <col width="22" customWidth="1" min="32" max="32"/>
    <col width="23" customWidth="1" min="33" max="33"/>
    <col width="23" customWidth="1" min="34" max="34"/>
    <col width="23" customWidth="1" min="35" max="35"/>
    <col width="27" customWidth="1" min="36" max="36"/>
    <col width="25" customWidth="1" min="37" max="37"/>
    <col width="21" customWidth="1" min="38" max="38"/>
    <col width="21" customWidth="1" min="39" max="39"/>
  </cols>
  <sheetData>
    <row r="1">
      <c r="A1" s="3" t="inlineStr">
        <is>
          <t>_id</t>
        </is>
      </c>
      <c r="B1" s="3" t="inlineStr">
        <is>
          <t>S_No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  <c r="V1" s="3" t="inlineStr">
        <is>
          <t>R_dominant</t>
        </is>
      </c>
      <c r="W1" s="3" t="inlineStr">
        <is>
          <t>mu_ABDURRAHMANGAZI</t>
        </is>
      </c>
      <c r="X1" s="3" t="inlineStr">
        <is>
          <t>mu_ADIL</t>
        </is>
      </c>
      <c r="Y1" s="3" t="inlineStr">
        <is>
          <t>mu_AHMET YESEVI</t>
        </is>
      </c>
      <c r="Z1" s="3" t="inlineStr">
        <is>
          <t>mu_AKSEMSETTIN</t>
        </is>
      </c>
      <c r="AA1" s="3" t="inlineStr">
        <is>
          <t>mu_BATTALGAZI</t>
        </is>
      </c>
      <c r="AB1" s="3" t="inlineStr">
        <is>
          <t>mu_FATIH</t>
        </is>
      </c>
      <c r="AC1" s="3" t="inlineStr">
        <is>
          <t>mu_HAMIDIYE</t>
        </is>
      </c>
      <c r="AD1" s="3" t="inlineStr">
        <is>
          <t>mu_HASANPASA</t>
        </is>
      </c>
      <c r="AE1" s="3" t="inlineStr">
        <is>
          <t>mu_MECIDIYE</t>
        </is>
      </c>
      <c r="AF1" s="3" t="inlineStr">
        <is>
          <t>mu_MEHMET AKIF</t>
        </is>
      </c>
      <c r="AG1" s="3" t="inlineStr">
        <is>
          <t>mu_MIMAR SINAN</t>
        </is>
      </c>
      <c r="AH1" s="3" t="inlineStr">
        <is>
          <t>mu_NECIP FAZIL</t>
        </is>
      </c>
      <c r="AI1" s="3" t="inlineStr">
        <is>
          <t>mu_ORHANGAZI</t>
        </is>
      </c>
      <c r="AJ1" s="3" t="inlineStr">
        <is>
          <t>mu_SALGAMLI DEVLET ORMANI</t>
        </is>
      </c>
      <c r="AK1" s="3" t="inlineStr">
        <is>
          <t>mu_TEFERRUC TEPE ORMANI</t>
        </is>
      </c>
      <c r="AL1" s="3" t="inlineStr">
        <is>
          <t>mu_TURGUT REIS</t>
        </is>
      </c>
      <c r="AM1" s="3" t="inlineStr">
        <is>
          <t>mu_YAVUZ SELIM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  <c r="W2" t="n">
        <v>0.7536977619977641</v>
      </c>
      <c r="X2" t="n">
        <v>0.07685111670416825</v>
      </c>
      <c r="Y2" t="n">
        <v>0.254300762707412</v>
      </c>
      <c r="Z2" t="n">
        <v>8.194576705640619e-06</v>
      </c>
      <c r="AA2" t="n">
        <v>0.009590143341413945</v>
      </c>
      <c r="AB2" t="n">
        <v>0.1077732038691402</v>
      </c>
      <c r="AC2" t="n">
        <v>0.003144424967968819</v>
      </c>
      <c r="AD2" t="n">
        <v>0.330441449221109</v>
      </c>
      <c r="AE2" t="n">
        <v>9.690361693309297e-05</v>
      </c>
      <c r="AF2" t="n">
        <v>0.731361640715831</v>
      </c>
      <c r="AG2" t="n">
        <v>0.0001588788562795306</v>
      </c>
      <c r="AH2" t="n">
        <v>0.0007148106335721217</v>
      </c>
      <c r="AI2" t="n">
        <v>0.0001119282498294507</v>
      </c>
      <c r="AJ2" t="n">
        <v>0</v>
      </c>
      <c r="AK2" t="n">
        <v>0</v>
      </c>
      <c r="AL2" t="n">
        <v>0.1134172121203947</v>
      </c>
      <c r="AM2" t="n">
        <v>0.02743113660377534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  <c r="W3" t="n">
        <v>0.0003290548348757847</v>
      </c>
      <c r="X3" t="n">
        <v>1.419613239620908e-07</v>
      </c>
      <c r="Y3" t="n">
        <v>0.0004740103974292709</v>
      </c>
      <c r="Z3" t="n">
        <v>0.5026889113882629</v>
      </c>
      <c r="AA3" t="n">
        <v>9.678590882241737e-07</v>
      </c>
      <c r="AB3" t="n">
        <v>0.2698044168029471</v>
      </c>
      <c r="AC3" t="n">
        <v>0.9454512810564256</v>
      </c>
      <c r="AD3" t="n">
        <v>1.743605732600181e-06</v>
      </c>
      <c r="AE3" t="n">
        <v>0.3171671326179806</v>
      </c>
      <c r="AF3" t="n">
        <v>0.007790773833664729</v>
      </c>
      <c r="AG3" t="n">
        <v>9.617616067853369e-11</v>
      </c>
      <c r="AH3" t="n">
        <v>0.1062684730608927</v>
      </c>
      <c r="AI3" t="n">
        <v>0.6336918031107226</v>
      </c>
      <c r="AJ3" t="n">
        <v>0</v>
      </c>
      <c r="AK3" t="n">
        <v>0</v>
      </c>
      <c r="AL3" t="n">
        <v>0.03446799662962802</v>
      </c>
      <c r="AM3" t="n">
        <v>0.2182895169137389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  <c r="W4" t="n">
        <v>0.0006729296393405272</v>
      </c>
      <c r="X4" t="n">
        <v>7.546667483370435e-07</v>
      </c>
      <c r="Y4" t="n">
        <v>0.00165809568256945</v>
      </c>
      <c r="Z4" t="n">
        <v>0.3915572915857991</v>
      </c>
      <c r="AA4" t="n">
        <v>5.883607423525473e-06</v>
      </c>
      <c r="AB4" t="n">
        <v>0.3557182461088653</v>
      </c>
      <c r="AC4" t="n">
        <v>0.9861029149087037</v>
      </c>
      <c r="AD4" t="n">
        <v>5.163837576391331e-06</v>
      </c>
      <c r="AE4" t="n">
        <v>0.4067733559782097</v>
      </c>
      <c r="AF4" t="n">
        <v>0.01371364324824105</v>
      </c>
      <c r="AG4" t="n">
        <v>9.882614115439032e-10</v>
      </c>
      <c r="AH4" t="n">
        <v>0.06488525168069997</v>
      </c>
      <c r="AI4" t="n">
        <v>0.4221013428818505</v>
      </c>
      <c r="AJ4" t="n">
        <v>0</v>
      </c>
      <c r="AK4" t="n">
        <v>0</v>
      </c>
      <c r="AL4" t="n">
        <v>0.08069748322564294</v>
      </c>
      <c r="AM4" t="n">
        <v>0.2054760819631867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  <c r="W5" t="n">
        <v>0.004501712050263455</v>
      </c>
      <c r="X5" t="n">
        <v>8.96702752236865e-06</v>
      </c>
      <c r="Y5" t="n">
        <v>0.007237670592927297</v>
      </c>
      <c r="Z5" t="n">
        <v>0.163294762357898</v>
      </c>
      <c r="AA5" t="n">
        <v>3.437797747202455e-05</v>
      </c>
      <c r="AB5" t="n">
        <v>0.660089659252137</v>
      </c>
      <c r="AC5" t="n">
        <v>0.8974133232280546</v>
      </c>
      <c r="AD5" t="n">
        <v>6.316565428662214e-05</v>
      </c>
      <c r="AE5" t="n">
        <v>0.2319367722754909</v>
      </c>
      <c r="AF5" t="n">
        <v>0.0569070267264021</v>
      </c>
      <c r="AG5" t="n">
        <v>1.1239403644732e-08</v>
      </c>
      <c r="AH5" t="n">
        <v>0.07991728184354187</v>
      </c>
      <c r="AI5" t="n">
        <v>0.2758910607725814</v>
      </c>
      <c r="AJ5" t="n">
        <v>0</v>
      </c>
      <c r="AK5" t="n">
        <v>0</v>
      </c>
      <c r="AL5" t="n">
        <v>0.1740275205692525</v>
      </c>
      <c r="AM5" t="n">
        <v>0.3538217985244374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  <c r="W6" t="n">
        <v>0.0007985809937183262</v>
      </c>
      <c r="X6" t="n">
        <v>5.059876227427407e-07</v>
      </c>
      <c r="Y6" t="n">
        <v>0.001092431725522599</v>
      </c>
      <c r="Z6" t="n">
        <v>0.3779496586810582</v>
      </c>
      <c r="AA6" t="n">
        <v>2.745805785534194e-06</v>
      </c>
      <c r="AB6" t="n">
        <v>0.3815181019231604</v>
      </c>
      <c r="AC6" t="n">
        <v>0.9920786181171776</v>
      </c>
      <c r="AD6" t="n">
        <v>5.626580864377349e-06</v>
      </c>
      <c r="AE6" t="n">
        <v>0.292790320624799</v>
      </c>
      <c r="AF6" t="n">
        <v>0.01550145633918082</v>
      </c>
      <c r="AG6" t="n">
        <v>3.819078539683013e-10</v>
      </c>
      <c r="AH6" t="n">
        <v>0.1123541509882712</v>
      </c>
      <c r="AI6" t="n">
        <v>0.5431541944668901</v>
      </c>
      <c r="AJ6" t="n">
        <v>0</v>
      </c>
      <c r="AK6" t="n">
        <v>0</v>
      </c>
      <c r="AL6" t="n">
        <v>0.05727685557741065</v>
      </c>
      <c r="AM6" t="n">
        <v>0.2821281844967945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  <c r="W7" t="n">
        <v>0.7070179308761186</v>
      </c>
      <c r="X7" t="n">
        <v>0.02253948710568815</v>
      </c>
      <c r="Y7" t="n">
        <v>0.1646793734259853</v>
      </c>
      <c r="Z7" t="n">
        <v>5.693471846427827e-05</v>
      </c>
      <c r="AA7" t="n">
        <v>0.003218669969113602</v>
      </c>
      <c r="AB7" t="n">
        <v>0.2532466232063723</v>
      </c>
      <c r="AC7" t="n">
        <v>0.01219107304257937</v>
      </c>
      <c r="AD7" t="n">
        <v>0.1710918919975526</v>
      </c>
      <c r="AE7" t="n">
        <v>0.0003651726730746455</v>
      </c>
      <c r="AF7" t="n">
        <v>0.9529473717466774</v>
      </c>
      <c r="AG7" t="n">
        <v>2.466539894927496e-05</v>
      </c>
      <c r="AH7" t="n">
        <v>0.004201657870233993</v>
      </c>
      <c r="AI7" t="n">
        <v>0.0007664836751362679</v>
      </c>
      <c r="AJ7" t="n">
        <v>0</v>
      </c>
      <c r="AK7" t="n">
        <v>0</v>
      </c>
      <c r="AL7" t="n">
        <v>0.1426045627245375</v>
      </c>
      <c r="AM7" t="n">
        <v>0.09256187966695774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  <c r="W8" t="n">
        <v>0.6307965778276958</v>
      </c>
      <c r="X8" t="n">
        <v>0.04463164722566706</v>
      </c>
      <c r="Y8" t="n">
        <v>0.2786911389920236</v>
      </c>
      <c r="Z8" t="n">
        <v>3.984272126087472e-05</v>
      </c>
      <c r="AA8" t="n">
        <v>0.008729560795617495</v>
      </c>
      <c r="AB8" t="n">
        <v>0.2033696570111671</v>
      </c>
      <c r="AC8" t="n">
        <v>0.009321530793351473</v>
      </c>
      <c r="AD8" t="n">
        <v>0.1885823189099977</v>
      </c>
      <c r="AE8" t="n">
        <v>0.000386160992333605</v>
      </c>
      <c r="AF8" t="n">
        <v>0.8285217814097803</v>
      </c>
      <c r="AG8" t="n">
        <v>9.476593056104072e-05</v>
      </c>
      <c r="AH8" t="n">
        <v>0.001750877678803304</v>
      </c>
      <c r="AI8" t="n">
        <v>0.0004095011517098656</v>
      </c>
      <c r="AJ8" t="n">
        <v>0</v>
      </c>
      <c r="AK8" t="n">
        <v>0</v>
      </c>
      <c r="AL8" t="n">
        <v>0.1944091775085304</v>
      </c>
      <c r="AM8" t="n">
        <v>0.05430288506453114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  <c r="W9" t="n">
        <v>0.02494032959359229</v>
      </c>
      <c r="X9" t="n">
        <v>1.380973980056224e-05</v>
      </c>
      <c r="Y9" t="n">
        <v>0.004207435909253794</v>
      </c>
      <c r="Z9" t="n">
        <v>0.03686580302166759</v>
      </c>
      <c r="AA9" t="n">
        <v>8.767190934404473e-06</v>
      </c>
      <c r="AB9" t="n">
        <v>0.8185116858656192</v>
      </c>
      <c r="AC9" t="n">
        <v>0.4726480711974159</v>
      </c>
      <c r="AD9" t="n">
        <v>0.0004646645792899686</v>
      </c>
      <c r="AE9" t="n">
        <v>0.02756023261110283</v>
      </c>
      <c r="AF9" t="n">
        <v>0.1743828444217681</v>
      </c>
      <c r="AG9" t="n">
        <v>2.906354372705791e-09</v>
      </c>
      <c r="AH9" t="n">
        <v>0.3099169426291139</v>
      </c>
      <c r="AI9" t="n">
        <v>0.2337268461302464</v>
      </c>
      <c r="AJ9" t="n">
        <v>0</v>
      </c>
      <c r="AK9" t="n">
        <v>0</v>
      </c>
      <c r="AL9" t="n">
        <v>0.06704950391204437</v>
      </c>
      <c r="AM9" t="n">
        <v>0.8953301065656926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1" customWidth="1" min="19" max="19"/>
    <col width="22" customWidth="1" min="20" max="20"/>
    <col width="19" customWidth="1" min="21" max="21"/>
    <col width="12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2" customWidth="1" min="32" max="32"/>
    <col width="23" customWidth="1" min="33" max="33"/>
    <col width="23" customWidth="1" min="34" max="34"/>
    <col width="23" customWidth="1" min="35" max="35"/>
    <col width="27" customWidth="1" min="36" max="36"/>
    <col width="25" customWidth="1" min="37" max="37"/>
    <col width="21" customWidth="1" min="38" max="38"/>
    <col width="22" customWidth="1" min="39" max="39"/>
  </cols>
  <sheetData>
    <row r="1">
      <c r="A1" s="3" t="inlineStr">
        <is>
          <t>_id</t>
        </is>
      </c>
      <c r="B1" s="3" t="inlineStr">
        <is>
          <t>S_No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  <c r="V1" s="3" t="inlineStr">
        <is>
          <t>R_dominant</t>
        </is>
      </c>
      <c r="W1" s="3" t="inlineStr">
        <is>
          <t>mu_ABDURRAHMANGAZI</t>
        </is>
      </c>
      <c r="X1" s="3" t="inlineStr">
        <is>
          <t>mu_ADIL</t>
        </is>
      </c>
      <c r="Y1" s="3" t="inlineStr">
        <is>
          <t>mu_AHMET YESEVI</t>
        </is>
      </c>
      <c r="Z1" s="3" t="inlineStr">
        <is>
          <t>mu_AKSEMSETTIN</t>
        </is>
      </c>
      <c r="AA1" s="3" t="inlineStr">
        <is>
          <t>mu_BATTALGAZI</t>
        </is>
      </c>
      <c r="AB1" s="3" t="inlineStr">
        <is>
          <t>mu_FATIH</t>
        </is>
      </c>
      <c r="AC1" s="3" t="inlineStr">
        <is>
          <t>mu_HAMIDIYE</t>
        </is>
      </c>
      <c r="AD1" s="3" t="inlineStr">
        <is>
          <t>mu_HASANPASA</t>
        </is>
      </c>
      <c r="AE1" s="3" t="inlineStr">
        <is>
          <t>mu_MECIDIYE</t>
        </is>
      </c>
      <c r="AF1" s="3" t="inlineStr">
        <is>
          <t>mu_MEHMET AKIF</t>
        </is>
      </c>
      <c r="AG1" s="3" t="inlineStr">
        <is>
          <t>mu_MIMAR SINAN</t>
        </is>
      </c>
      <c r="AH1" s="3" t="inlineStr">
        <is>
          <t>mu_NECIP FAZIL</t>
        </is>
      </c>
      <c r="AI1" s="3" t="inlineStr">
        <is>
          <t>mu_ORHANGAZI</t>
        </is>
      </c>
      <c r="AJ1" s="3" t="inlineStr">
        <is>
          <t>mu_SALGAMLI DEVLET ORMANI</t>
        </is>
      </c>
      <c r="AK1" s="3" t="inlineStr">
        <is>
          <t>mu_TEFERRUC TEPE ORMANI</t>
        </is>
      </c>
      <c r="AL1" s="3" t="inlineStr">
        <is>
          <t>mu_TURGUT REIS</t>
        </is>
      </c>
      <c r="AM1" s="3" t="inlineStr">
        <is>
          <t>mu_YAVUZ SELIM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  <c r="W2" t="n">
        <v>0.7536977619977641</v>
      </c>
      <c r="X2" t="n">
        <v>0.07685111670416825</v>
      </c>
      <c r="Y2" t="n">
        <v>0.254300762707412</v>
      </c>
      <c r="Z2" t="n">
        <v>8.194576705640619e-06</v>
      </c>
      <c r="AA2" t="n">
        <v>0.009590143341413945</v>
      </c>
      <c r="AB2" t="n">
        <v>0.1077732038691402</v>
      </c>
      <c r="AC2" t="n">
        <v>0.003144424967968819</v>
      </c>
      <c r="AD2" t="n">
        <v>0.330441449221109</v>
      </c>
      <c r="AE2" t="n">
        <v>9.690361693309297e-05</v>
      </c>
      <c r="AF2" t="n">
        <v>0.731361640715831</v>
      </c>
      <c r="AG2" t="n">
        <v>0.0001588788562795306</v>
      </c>
      <c r="AH2" t="n">
        <v>0.0007148106335721217</v>
      </c>
      <c r="AI2" t="n">
        <v>0.0001119282498294507</v>
      </c>
      <c r="AJ2" t="n">
        <v>0</v>
      </c>
      <c r="AK2" t="n">
        <v>0</v>
      </c>
      <c r="AL2" t="n">
        <v>0.1134172121203947</v>
      </c>
      <c r="AM2" t="n">
        <v>0.02743113660377534</v>
      </c>
    </row>
    <row r="3">
      <c r="A3" t="inlineStr">
        <is>
          <t>5 - Aydos Parkı</t>
        </is>
      </c>
      <c r="B3" t="n">
        <v>5</v>
      </c>
      <c r="C3" t="inlineStr">
        <is>
          <t>ABDURRAHMANGAZİ</t>
        </is>
      </c>
      <c r="D3" t="n">
        <v>0.9751720465812047</v>
      </c>
      <c r="E3" t="n">
        <v>0.03508666391864246</v>
      </c>
      <c r="F3" t="n">
        <v>0.04439438685942071</v>
      </c>
      <c r="G3" t="n">
        <v>4.78779347764016e-07</v>
      </c>
      <c r="H3" t="n">
        <v>0.0008485267919633449</v>
      </c>
      <c r="I3" t="n">
        <v>0.0328059615551592</v>
      </c>
      <c r="J3" t="n">
        <v>0.0004193422343754029</v>
      </c>
      <c r="K3" t="n">
        <v>0.5866346423653686</v>
      </c>
      <c r="L3" t="n">
        <v>3.368283900750293e-06</v>
      </c>
      <c r="M3" t="n">
        <v>0.5356900450629809</v>
      </c>
      <c r="N3" t="n">
        <v>1.538255071801122e-05</v>
      </c>
      <c r="O3" t="n">
        <v>0.0005568402218677085</v>
      </c>
      <c r="P3" t="n">
        <v>2.167394573460339e-05</v>
      </c>
      <c r="Q3" t="n">
        <v>0</v>
      </c>
      <c r="R3" t="n">
        <v>0</v>
      </c>
      <c r="S3" t="n">
        <v>0.01276478214412552</v>
      </c>
      <c r="T3" t="n">
        <v>0.01535428764154279</v>
      </c>
      <c r="U3" t="n">
        <v>2.239768428936353</v>
      </c>
      <c r="V3" t="n">
        <v>0</v>
      </c>
      <c r="W3" t="n">
        <v>0.9751720465812047</v>
      </c>
      <c r="X3" t="n">
        <v>0.03508666391864246</v>
      </c>
      <c r="Y3" t="n">
        <v>0.04439438685942071</v>
      </c>
      <c r="Z3" t="n">
        <v>4.78779347764016e-07</v>
      </c>
      <c r="AA3" t="n">
        <v>0.0008485267919633449</v>
      </c>
      <c r="AB3" t="n">
        <v>0.0328059615551592</v>
      </c>
      <c r="AC3" t="n">
        <v>0.0004193422343754029</v>
      </c>
      <c r="AD3" t="n">
        <v>0.5866346423653686</v>
      </c>
      <c r="AE3" t="n">
        <v>3.368283900750293e-06</v>
      </c>
      <c r="AF3" t="n">
        <v>0.5356900450629809</v>
      </c>
      <c r="AG3" t="n">
        <v>1.538255071801122e-05</v>
      </c>
      <c r="AH3" t="n">
        <v>0.0005568402218677085</v>
      </c>
      <c r="AI3" t="n">
        <v>2.167394573460339e-05</v>
      </c>
      <c r="AJ3" t="n">
        <v>0</v>
      </c>
      <c r="AK3" t="n">
        <v>0</v>
      </c>
      <c r="AL3" t="n">
        <v>0.01276478214412552</v>
      </c>
      <c r="AM3" t="n">
        <v>0.01535428764154279</v>
      </c>
    </row>
    <row r="4">
      <c r="A4" t="inlineStr">
        <is>
          <t>43 - Muhsi Yazıcıoğlu Parkı</t>
        </is>
      </c>
      <c r="B4" t="n">
        <v>43</v>
      </c>
      <c r="C4" t="inlineStr">
        <is>
          <t>BATTALGAZİ</t>
        </is>
      </c>
      <c r="D4" t="n">
        <v>0.003789994156659682</v>
      </c>
      <c r="E4" t="n">
        <v>0.4009386983852601</v>
      </c>
      <c r="F4" t="n">
        <v>0.3831995711801791</v>
      </c>
      <c r="G4" t="n">
        <v>7.188896348164187e-09</v>
      </c>
      <c r="H4" t="n">
        <v>0.8853336197212921</v>
      </c>
      <c r="I4" t="n">
        <v>0.0002571768321207107</v>
      </c>
      <c r="J4" t="n">
        <v>5.389683282571682e-06</v>
      </c>
      <c r="K4" t="n">
        <v>0.009827119211217886</v>
      </c>
      <c r="L4" t="n">
        <v>3.092725547324043e-06</v>
      </c>
      <c r="M4" t="n">
        <v>0.003134327506413468</v>
      </c>
      <c r="N4" t="n">
        <v>0.2872058370811644</v>
      </c>
      <c r="O4" t="n">
        <v>5.575634616573177e-09</v>
      </c>
      <c r="P4" t="n">
        <v>8.536044087242698e-09</v>
      </c>
      <c r="Q4" t="n">
        <v>0</v>
      </c>
      <c r="R4" t="n">
        <v>0</v>
      </c>
      <c r="S4" t="n">
        <v>0.02810212608926671</v>
      </c>
      <c r="T4" t="n">
        <v>4.15810770538597e-06</v>
      </c>
      <c r="U4" t="n">
        <v>2.001801131980685</v>
      </c>
      <c r="V4" t="n">
        <v>0</v>
      </c>
      <c r="W4" t="n">
        <v>0.003789994156659682</v>
      </c>
      <c r="X4" t="n">
        <v>0.4009386983852601</v>
      </c>
      <c r="Y4" t="n">
        <v>0.3831995711801791</v>
      </c>
      <c r="Z4" t="n">
        <v>7.188896348164187e-09</v>
      </c>
      <c r="AA4" t="n">
        <v>0.8853336197212921</v>
      </c>
      <c r="AB4" t="n">
        <v>0.0002571768321207107</v>
      </c>
      <c r="AC4" t="n">
        <v>5.389683282571682e-06</v>
      </c>
      <c r="AD4" t="n">
        <v>0.009827119211217886</v>
      </c>
      <c r="AE4" t="n">
        <v>3.092725547324043e-06</v>
      </c>
      <c r="AF4" t="n">
        <v>0.003134327506413468</v>
      </c>
      <c r="AG4" t="n">
        <v>0.2872058370811644</v>
      </c>
      <c r="AH4" t="n">
        <v>5.575634616573177e-09</v>
      </c>
      <c r="AI4" t="n">
        <v>8.536044087242698e-09</v>
      </c>
      <c r="AJ4" t="n">
        <v>0</v>
      </c>
      <c r="AK4" t="n">
        <v>0</v>
      </c>
      <c r="AL4" t="n">
        <v>0.02810212608926671</v>
      </c>
      <c r="AM4" t="n">
        <v>4.15810770538597e-06</v>
      </c>
    </row>
    <row r="5">
      <c r="A5" t="inlineStr">
        <is>
          <t>59 - Eşref Bitlis Parkı</t>
        </is>
      </c>
      <c r="B5" t="n">
        <v>59</v>
      </c>
      <c r="C5" t="inlineStr">
        <is>
          <t>HAMİDİYE</t>
        </is>
      </c>
      <c r="D5" t="n">
        <v>0.0003290548348757847</v>
      </c>
      <c r="E5" t="n">
        <v>1.419613239620908e-07</v>
      </c>
      <c r="F5" t="n">
        <v>0.0004740103974292709</v>
      </c>
      <c r="G5" t="n">
        <v>0.5026889113882629</v>
      </c>
      <c r="H5" t="n">
        <v>9.678590882241737e-07</v>
      </c>
      <c r="I5" t="n">
        <v>0.2698044168029471</v>
      </c>
      <c r="J5" t="n">
        <v>0.9454512810564256</v>
      </c>
      <c r="K5" t="n">
        <v>1.743605732600181e-06</v>
      </c>
      <c r="L5" t="n">
        <v>0.3171671326179806</v>
      </c>
      <c r="M5" t="n">
        <v>0.007790773833664729</v>
      </c>
      <c r="N5" t="n">
        <v>9.617616067853369e-11</v>
      </c>
      <c r="O5" t="n">
        <v>0.1062684730608927</v>
      </c>
      <c r="P5" t="n">
        <v>0.6336918031107226</v>
      </c>
      <c r="Q5" t="n">
        <v>0</v>
      </c>
      <c r="R5" t="n">
        <v>0</v>
      </c>
      <c r="S5" t="n">
        <v>0.03446799662962802</v>
      </c>
      <c r="T5" t="n">
        <v>0.2182895169137389</v>
      </c>
      <c r="U5" t="n">
        <v>3.036426224168889</v>
      </c>
      <c r="V5" t="n">
        <v>0</v>
      </c>
      <c r="W5" t="n">
        <v>0.0003290548348757847</v>
      </c>
      <c r="X5" t="n">
        <v>1.419613239620908e-07</v>
      </c>
      <c r="Y5" t="n">
        <v>0.0004740103974292709</v>
      </c>
      <c r="Z5" t="n">
        <v>0.5026889113882629</v>
      </c>
      <c r="AA5" t="n">
        <v>9.678590882241737e-07</v>
      </c>
      <c r="AB5" t="n">
        <v>0.2698044168029471</v>
      </c>
      <c r="AC5" t="n">
        <v>0.9454512810564256</v>
      </c>
      <c r="AD5" t="n">
        <v>1.743605732600181e-06</v>
      </c>
      <c r="AE5" t="n">
        <v>0.3171671326179806</v>
      </c>
      <c r="AF5" t="n">
        <v>0.007790773833664729</v>
      </c>
      <c r="AG5" t="n">
        <v>9.617616067853369e-11</v>
      </c>
      <c r="AH5" t="n">
        <v>0.1062684730608927</v>
      </c>
      <c r="AI5" t="n">
        <v>0.6336918031107226</v>
      </c>
      <c r="AJ5" t="n">
        <v>0</v>
      </c>
      <c r="AK5" t="n">
        <v>0</v>
      </c>
      <c r="AL5" t="n">
        <v>0.03446799662962802</v>
      </c>
      <c r="AM5" t="n">
        <v>0.2182895169137389</v>
      </c>
    </row>
    <row r="6">
      <c r="A6" t="inlineStr">
        <is>
          <t>60 - İbrahim Dede Parkı</t>
        </is>
      </c>
      <c r="B6" t="n">
        <v>60</v>
      </c>
      <c r="C6" t="inlineStr">
        <is>
          <t>HAMİDİYE</t>
        </is>
      </c>
      <c r="D6" t="n">
        <v>0.0006729296393405272</v>
      </c>
      <c r="E6" t="n">
        <v>7.546667483370435e-07</v>
      </c>
      <c r="F6" t="n">
        <v>0.00165809568256945</v>
      </c>
      <c r="G6" t="n">
        <v>0.3915572915857991</v>
      </c>
      <c r="H6" t="n">
        <v>5.883607423525473e-06</v>
      </c>
      <c r="I6" t="n">
        <v>0.3557182461088653</v>
      </c>
      <c r="J6" t="n">
        <v>0.9861029149087037</v>
      </c>
      <c r="K6" t="n">
        <v>5.163837576391331e-06</v>
      </c>
      <c r="L6" t="n">
        <v>0.4067733559782097</v>
      </c>
      <c r="M6" t="n">
        <v>0.01371364324824105</v>
      </c>
      <c r="N6" t="n">
        <v>9.882614115439032e-10</v>
      </c>
      <c r="O6" t="n">
        <v>0.06488525168069997</v>
      </c>
      <c r="P6" t="n">
        <v>0.4221013428818505</v>
      </c>
      <c r="Q6" t="n">
        <v>0</v>
      </c>
      <c r="R6" t="n">
        <v>0</v>
      </c>
      <c r="S6" t="n">
        <v>0.08069748322564294</v>
      </c>
      <c r="T6" t="n">
        <v>0.2054760819631867</v>
      </c>
      <c r="U6" t="n">
        <v>2.929368440003119</v>
      </c>
      <c r="V6" t="n">
        <v>0</v>
      </c>
      <c r="W6" t="n">
        <v>0.0006729296393405272</v>
      </c>
      <c r="X6" t="n">
        <v>7.546667483370435e-07</v>
      </c>
      <c r="Y6" t="n">
        <v>0.00165809568256945</v>
      </c>
      <c r="Z6" t="n">
        <v>0.3915572915857991</v>
      </c>
      <c r="AA6" t="n">
        <v>5.883607423525473e-06</v>
      </c>
      <c r="AB6" t="n">
        <v>0.3557182461088653</v>
      </c>
      <c r="AC6" t="n">
        <v>0.9861029149087037</v>
      </c>
      <c r="AD6" t="n">
        <v>5.163837576391331e-06</v>
      </c>
      <c r="AE6" t="n">
        <v>0.4067733559782097</v>
      </c>
      <c r="AF6" t="n">
        <v>0.01371364324824105</v>
      </c>
      <c r="AG6" t="n">
        <v>9.882614115439032e-10</v>
      </c>
      <c r="AH6" t="n">
        <v>0.06488525168069997</v>
      </c>
      <c r="AI6" t="n">
        <v>0.4221013428818505</v>
      </c>
      <c r="AJ6" t="n">
        <v>0</v>
      </c>
      <c r="AK6" t="n">
        <v>0</v>
      </c>
      <c r="AL6" t="n">
        <v>0.08069748322564294</v>
      </c>
      <c r="AM6" t="n">
        <v>0.2054760819631867</v>
      </c>
    </row>
    <row r="7">
      <c r="A7" t="inlineStr">
        <is>
          <t>62 - Mevlana Ortaokulu Bahçesi</t>
        </is>
      </c>
      <c r="B7" t="n">
        <v>62</v>
      </c>
      <c r="C7" t="inlineStr">
        <is>
          <t>HAMİDİYE</t>
        </is>
      </c>
      <c r="D7" t="n">
        <v>0.0007985809937183262</v>
      </c>
      <c r="E7" t="n">
        <v>5.059876227427407e-07</v>
      </c>
      <c r="F7" t="n">
        <v>0.001092431725522599</v>
      </c>
      <c r="G7" t="n">
        <v>0.3779496586810582</v>
      </c>
      <c r="H7" t="n">
        <v>2.745805785534194e-06</v>
      </c>
      <c r="I7" t="n">
        <v>0.3815181019231604</v>
      </c>
      <c r="J7" t="n">
        <v>0.9920786181171776</v>
      </c>
      <c r="K7" t="n">
        <v>5.626580864377349e-06</v>
      </c>
      <c r="L7" t="n">
        <v>0.292790320624799</v>
      </c>
      <c r="M7" t="n">
        <v>0.01550145633918082</v>
      </c>
      <c r="N7" t="n">
        <v>3.819078539683013e-10</v>
      </c>
      <c r="O7" t="n">
        <v>0.1123541509882712</v>
      </c>
      <c r="P7" t="n">
        <v>0.5431541944668901</v>
      </c>
      <c r="Q7" t="n">
        <v>0</v>
      </c>
      <c r="R7" t="n">
        <v>0</v>
      </c>
      <c r="S7" t="n">
        <v>0.05727685557741065</v>
      </c>
      <c r="T7" t="n">
        <v>0.2821281844967945</v>
      </c>
      <c r="U7" t="n">
        <v>3.056651432690164</v>
      </c>
      <c r="V7" t="n">
        <v>0</v>
      </c>
      <c r="W7" t="n">
        <v>0.0007985809937183262</v>
      </c>
      <c r="X7" t="n">
        <v>5.059876227427407e-07</v>
      </c>
      <c r="Y7" t="n">
        <v>0.001092431725522599</v>
      </c>
      <c r="Z7" t="n">
        <v>0.3779496586810582</v>
      </c>
      <c r="AA7" t="n">
        <v>2.745805785534194e-06</v>
      </c>
      <c r="AB7" t="n">
        <v>0.3815181019231604</v>
      </c>
      <c r="AC7" t="n">
        <v>0.9920786181171776</v>
      </c>
      <c r="AD7" t="n">
        <v>5.626580864377349e-06</v>
      </c>
      <c r="AE7" t="n">
        <v>0.292790320624799</v>
      </c>
      <c r="AF7" t="n">
        <v>0.01550145633918082</v>
      </c>
      <c r="AG7" t="n">
        <v>3.819078539683013e-10</v>
      </c>
      <c r="AH7" t="n">
        <v>0.1123541509882712</v>
      </c>
      <c r="AI7" t="n">
        <v>0.5431541944668901</v>
      </c>
      <c r="AJ7" t="n">
        <v>0</v>
      </c>
      <c r="AK7" t="n">
        <v>0</v>
      </c>
      <c r="AL7" t="n">
        <v>0.05727685557741065</v>
      </c>
      <c r="AM7" t="n">
        <v>0.2821281844967945</v>
      </c>
    </row>
    <row r="8">
      <c r="A8" t="inlineStr">
        <is>
          <t>83 - Mehmet Akif Ersoy Parkı</t>
        </is>
      </c>
      <c r="B8" t="n">
        <v>83</v>
      </c>
      <c r="C8" t="inlineStr">
        <is>
          <t>MEHMET AKİF</t>
        </is>
      </c>
      <c r="D8" t="n">
        <v>0.7070179308761186</v>
      </c>
      <c r="E8" t="n">
        <v>0.02253948710568815</v>
      </c>
      <c r="F8" t="n">
        <v>0.1646793734259853</v>
      </c>
      <c r="G8" t="n">
        <v>5.693471846427827e-05</v>
      </c>
      <c r="H8" t="n">
        <v>0.003218669969113602</v>
      </c>
      <c r="I8" t="n">
        <v>0.2532466232063723</v>
      </c>
      <c r="J8" t="n">
        <v>0.01219107304257937</v>
      </c>
      <c r="K8" t="n">
        <v>0.1710918919975526</v>
      </c>
      <c r="L8" t="n">
        <v>0.0003651726730746455</v>
      </c>
      <c r="M8" t="n">
        <v>0.9529473717466774</v>
      </c>
      <c r="N8" t="n">
        <v>2.466539894927496e-05</v>
      </c>
      <c r="O8" t="n">
        <v>0.004201657870233993</v>
      </c>
      <c r="P8" t="n">
        <v>0.0007664836751362679</v>
      </c>
      <c r="Q8" t="n">
        <v>0</v>
      </c>
      <c r="R8" t="n">
        <v>0</v>
      </c>
      <c r="S8" t="n">
        <v>0.1426045627245375</v>
      </c>
      <c r="T8" t="n">
        <v>0.09256187966695774</v>
      </c>
      <c r="U8" t="n">
        <v>2.527513778097441</v>
      </c>
      <c r="V8" t="n">
        <v>0</v>
      </c>
      <c r="W8" t="n">
        <v>0.7070179308761186</v>
      </c>
      <c r="X8" t="n">
        <v>0.02253948710568815</v>
      </c>
      <c r="Y8" t="n">
        <v>0.1646793734259853</v>
      </c>
      <c r="Z8" t="n">
        <v>5.693471846427827e-05</v>
      </c>
      <c r="AA8" t="n">
        <v>0.003218669969113602</v>
      </c>
      <c r="AB8" t="n">
        <v>0.2532466232063723</v>
      </c>
      <c r="AC8" t="n">
        <v>0.01219107304257937</v>
      </c>
      <c r="AD8" t="n">
        <v>0.1710918919975526</v>
      </c>
      <c r="AE8" t="n">
        <v>0.0003651726730746455</v>
      </c>
      <c r="AF8" t="n">
        <v>0.9529473717466774</v>
      </c>
      <c r="AG8" t="n">
        <v>2.466539894927496e-05</v>
      </c>
      <c r="AH8" t="n">
        <v>0.004201657870233993</v>
      </c>
      <c r="AI8" t="n">
        <v>0.0007664836751362679</v>
      </c>
      <c r="AJ8" t="n">
        <v>0</v>
      </c>
      <c r="AK8" t="n">
        <v>0</v>
      </c>
      <c r="AL8" t="n">
        <v>0.1426045627245375</v>
      </c>
      <c r="AM8" t="n">
        <v>0.09256187966695774</v>
      </c>
    </row>
    <row r="9">
      <c r="A9" t="inlineStr">
        <is>
          <t>137 - Emin Çarlı Parkı</t>
        </is>
      </c>
      <c r="B9" t="n">
        <v>137</v>
      </c>
      <c r="C9" t="inlineStr">
        <is>
          <t>YAVUZ SELİM</t>
        </is>
      </c>
      <c r="D9" t="n">
        <v>0.005614826276435128</v>
      </c>
      <c r="E9" t="n">
        <v>5.305096665242893e-07</v>
      </c>
      <c r="F9" t="n">
        <v>0.0003569535591501725</v>
      </c>
      <c r="G9" t="n">
        <v>0.05216567302042864</v>
      </c>
      <c r="H9" t="n">
        <v>2.676859745633676e-07</v>
      </c>
      <c r="I9" t="n">
        <v>0.4253293551821115</v>
      </c>
      <c r="J9" t="n">
        <v>0.3841052727656848</v>
      </c>
      <c r="K9" t="n">
        <v>5.224112046011889e-05</v>
      </c>
      <c r="L9" t="n">
        <v>0.01549018142602314</v>
      </c>
      <c r="M9" t="n">
        <v>0.05229282441271667</v>
      </c>
      <c r="N9" t="n">
        <v>3.330988009528486e-11</v>
      </c>
      <c r="O9" t="n">
        <v>0.6686571334095701</v>
      </c>
      <c r="P9" t="n">
        <v>0.436222489551403</v>
      </c>
      <c r="Q9" t="n">
        <v>0</v>
      </c>
      <c r="R9" t="n">
        <v>0</v>
      </c>
      <c r="S9" t="n">
        <v>0.01209165982256983</v>
      </c>
      <c r="T9" t="n">
        <v>0.8654159461745561</v>
      </c>
      <c r="U9" t="n">
        <v>2.91779535495006</v>
      </c>
      <c r="V9" t="n">
        <v>0</v>
      </c>
      <c r="W9" t="n">
        <v>0.005614826276435128</v>
      </c>
      <c r="X9" t="n">
        <v>5.305096665242893e-07</v>
      </c>
      <c r="Y9" t="n">
        <v>0.0003569535591501725</v>
      </c>
      <c r="Z9" t="n">
        <v>0.05216567302042864</v>
      </c>
      <c r="AA9" t="n">
        <v>2.676859745633676e-07</v>
      </c>
      <c r="AB9" t="n">
        <v>0.4253293551821115</v>
      </c>
      <c r="AC9" t="n">
        <v>0.3841052727656848</v>
      </c>
      <c r="AD9" t="n">
        <v>5.224112046011889e-05</v>
      </c>
      <c r="AE9" t="n">
        <v>0.01549018142602314</v>
      </c>
      <c r="AF9" t="n">
        <v>0.05229282441271667</v>
      </c>
      <c r="AG9" t="n">
        <v>3.330988009528486e-11</v>
      </c>
      <c r="AH9" t="n">
        <v>0.6686571334095701</v>
      </c>
      <c r="AI9" t="n">
        <v>0.436222489551403</v>
      </c>
      <c r="AJ9" t="n">
        <v>0</v>
      </c>
      <c r="AK9" t="n">
        <v>0</v>
      </c>
      <c r="AL9" t="n">
        <v>0.01209165982256983</v>
      </c>
      <c r="AM9" t="n">
        <v>0.8654159461745561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0" customWidth="1" min="3" max="3"/>
    <col width="10" customWidth="1" min="4" max="4"/>
    <col width="13" customWidth="1" min="5" max="5"/>
    <col width="17" customWidth="1" min="6" max="6"/>
    <col width="19" customWidth="1" min="7" max="7"/>
    <col width="19" customWidth="1" min="8" max="8"/>
    <col width="17" customWidth="1" min="9" max="9"/>
    <col width="5" customWidth="1" min="10" max="10"/>
    <col width="5" customWidth="1" min="11" max="11"/>
    <col width="11" customWidth="1" min="12" max="12"/>
    <col width="23" customWidth="1" min="13" max="13"/>
    <col width="8" customWidth="1" min="14" max="14"/>
    <col width="12" customWidth="1" min="15" max="15"/>
    <col width="18" customWidth="1" min="16" max="16"/>
    <col width="8" customWidth="1" min="17" max="17"/>
    <col width="8" customWidth="1" min="18" max="18"/>
    <col width="9" customWidth="1" min="19" max="19"/>
    <col width="12" customWidth="1" min="20" max="20"/>
    <col width="12" customWidth="1" min="21" max="21"/>
  </cols>
  <sheetData>
    <row r="1">
      <c r="A1" s="3" t="inlineStr">
        <is>
          <t>S_No</t>
        </is>
      </c>
      <c r="B1" s="3" t="inlineStr">
        <is>
          <t>AYDES_ID</t>
        </is>
      </c>
      <c r="C1" s="3" t="inlineStr">
        <is>
          <t>Alan_Adi</t>
        </is>
      </c>
      <c r="D1" s="3" t="inlineStr">
        <is>
          <t>Il</t>
        </is>
      </c>
      <c r="E1" s="3" t="inlineStr">
        <is>
          <t>Ilce</t>
        </is>
      </c>
      <c r="F1" s="3" t="inlineStr">
        <is>
          <t>Mahalle</t>
        </is>
      </c>
      <c r="G1" s="3" t="inlineStr">
        <is>
          <t>Enlem</t>
        </is>
      </c>
      <c r="H1" s="3" t="inlineStr">
        <is>
          <t>Boylam</t>
        </is>
      </c>
      <c r="I1" s="3" t="inlineStr">
        <is>
          <t>Arazi_Kullanimi</t>
        </is>
      </c>
      <c r="J1" s="3" t="inlineStr">
        <is>
          <t>Su</t>
        </is>
      </c>
      <c r="K1" s="3" t="inlineStr">
        <is>
          <t>WC</t>
        </is>
      </c>
      <c r="L1" s="3" t="inlineStr">
        <is>
          <t>Jenerator</t>
        </is>
      </c>
      <c r="M1" s="3" t="inlineStr">
        <is>
          <t>AFIS_Konteyner_Sayisi</t>
        </is>
      </c>
      <c r="N1" s="3" t="inlineStr">
        <is>
          <t>Kamera</t>
        </is>
      </c>
      <c r="O1" s="3" t="inlineStr">
        <is>
          <t>Haberlesme</t>
        </is>
      </c>
      <c r="P1" s="3" t="inlineStr">
        <is>
          <t>Oncelik_Derecesi</t>
        </is>
      </c>
      <c r="Q1" s="3" t="inlineStr">
        <is>
          <t>Su_bin</t>
        </is>
      </c>
      <c r="R1" s="3" t="inlineStr">
        <is>
          <t>WC_bin</t>
        </is>
      </c>
      <c r="S1" s="3" t="inlineStr">
        <is>
          <t>Jen_bin</t>
        </is>
      </c>
      <c r="T1" s="3" t="inlineStr">
        <is>
          <t>Kamera_bin</t>
        </is>
      </c>
      <c r="U1" s="3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  <col width="19" customWidth="1" min="4" max="4"/>
    <col width="19" customWidth="1" min="5" max="5"/>
    <col width="36" customWidth="1" min="6" max="6"/>
  </cols>
  <sheetData>
    <row r="1">
      <c r="A1" s="3" t="inlineStr">
        <is>
          <t>container_no</t>
        </is>
      </c>
      <c r="B1" s="3" t="inlineStr">
        <is>
          <t>mahalle</t>
        </is>
      </c>
      <c r="C1" s="3" t="inlineStr">
        <is>
          <t>adres</t>
        </is>
      </c>
      <c r="D1" s="3" t="inlineStr">
        <is>
          <t>enlem</t>
        </is>
      </c>
      <c r="E1" s="3" t="inlineStr">
        <is>
          <t>boylam</t>
        </is>
      </c>
      <c r="F1" s="3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1" customWidth="1" min="3" max="3"/>
    <col width="13" customWidth="1" min="4" max="4"/>
  </cols>
  <sheetData>
    <row r="1">
      <c r="A1" s="3" t="inlineStr">
        <is>
          <t>mahalle</t>
        </is>
      </c>
      <c r="B1" s="3" t="inlineStr">
        <is>
          <t>R_risk</t>
        </is>
      </c>
      <c r="C1" s="3" t="inlineStr">
        <is>
          <t>R_normalized</t>
        </is>
      </c>
      <c r="D1" s="3" t="inlineStr">
        <is>
          <t>is_critical</t>
        </is>
      </c>
    </row>
    <row r="2">
      <c r="A2" t="inlineStr">
        <is>
          <t>ABDURRAHMANGAZI</t>
        </is>
      </c>
      <c r="B2" t="n">
        <v>34.5</v>
      </c>
      <c r="C2" t="n">
        <v>1</v>
      </c>
      <c r="D2" t="b">
        <v>1</v>
      </c>
    </row>
    <row r="3">
      <c r="A3" t="inlineStr">
        <is>
          <t>ADIL</t>
        </is>
      </c>
      <c r="B3" t="n">
        <v>3.4</v>
      </c>
      <c r="C3" t="n">
        <v>0.09855072463768115</v>
      </c>
      <c r="D3" t="b">
        <v>0</v>
      </c>
    </row>
    <row r="4">
      <c r="A4" t="inlineStr">
        <is>
          <t>AHMET YESEVI</t>
        </is>
      </c>
      <c r="B4" t="n">
        <v>19.8</v>
      </c>
      <c r="C4" t="n">
        <v>0.5739130434782609</v>
      </c>
      <c r="D4" t="b">
        <v>1</v>
      </c>
    </row>
    <row r="5">
      <c r="A5" t="inlineStr">
        <is>
          <t>AKSEMSETTIN</t>
        </is>
      </c>
      <c r="B5" t="n">
        <v>8.9</v>
      </c>
      <c r="C5" t="n">
        <v>0.2579710144927536</v>
      </c>
      <c r="D5" t="b">
        <v>0</v>
      </c>
    </row>
    <row r="6">
      <c r="A6" t="inlineStr">
        <is>
          <t>BATTALGAZI</t>
        </is>
      </c>
      <c r="B6" t="n">
        <v>18.4</v>
      </c>
      <c r="C6" t="n">
        <v>0.5333333333333333</v>
      </c>
      <c r="D6" t="b">
        <v>1</v>
      </c>
    </row>
    <row r="7">
      <c r="A7" t="inlineStr">
        <is>
          <t>FATIH</t>
        </is>
      </c>
      <c r="B7" t="n">
        <v>17</v>
      </c>
      <c r="C7" t="n">
        <v>0.4927536231884058</v>
      </c>
      <c r="D7" t="b">
        <v>1</v>
      </c>
    </row>
    <row r="8">
      <c r="A8" t="inlineStr">
        <is>
          <t>HAMIDIYE</t>
        </is>
      </c>
      <c r="B8" t="n">
        <v>32.7</v>
      </c>
      <c r="C8" t="n">
        <v>0.9478260869565218</v>
      </c>
      <c r="D8" t="b">
        <v>1</v>
      </c>
    </row>
    <row r="9">
      <c r="A9" t="inlineStr">
        <is>
          <t>HASANPASA</t>
        </is>
      </c>
      <c r="B9" t="n">
        <v>15.1</v>
      </c>
      <c r="C9" t="n">
        <v>0.4376811594202898</v>
      </c>
      <c r="D9" t="b">
        <v>1</v>
      </c>
    </row>
    <row r="10">
      <c r="A10" t="inlineStr">
        <is>
          <t>MECIDIYE</t>
        </is>
      </c>
      <c r="B10" t="n">
        <v>15.5</v>
      </c>
      <c r="C10" t="n">
        <v>0.4492753623188406</v>
      </c>
      <c r="D10" t="b">
        <v>1</v>
      </c>
    </row>
    <row r="11">
      <c r="A11" t="inlineStr">
        <is>
          <t>MEHMET AKIF</t>
        </is>
      </c>
      <c r="B11" t="n">
        <v>31</v>
      </c>
      <c r="C11" t="n">
        <v>0.8985507246376812</v>
      </c>
      <c r="D11" t="b">
        <v>1</v>
      </c>
    </row>
    <row r="12">
      <c r="A12" t="inlineStr">
        <is>
          <t>MIMAR SINAN</t>
        </is>
      </c>
      <c r="B12" t="n">
        <v>3.9</v>
      </c>
      <c r="C12" t="n">
        <v>0.1130434782608696</v>
      </c>
      <c r="D12" t="b">
        <v>0</v>
      </c>
    </row>
    <row r="13">
      <c r="A13" t="inlineStr">
        <is>
          <t>NECIP FAZIL</t>
        </is>
      </c>
      <c r="B13" t="n">
        <v>17.6</v>
      </c>
      <c r="C13" t="n">
        <v>0.510144927536232</v>
      </c>
      <c r="D13" t="b">
        <v>1</v>
      </c>
    </row>
    <row r="14">
      <c r="A14" t="inlineStr">
        <is>
          <t>ORHANGAZI</t>
        </is>
      </c>
      <c r="B14" t="n">
        <v>19.5</v>
      </c>
      <c r="C14" t="n">
        <v>0.5652173913043478</v>
      </c>
      <c r="D14" t="b">
        <v>1</v>
      </c>
    </row>
    <row r="15">
      <c r="A15" t="inlineStr">
        <is>
          <t>SALGAMLI DEVLET ORMANI</t>
        </is>
      </c>
      <c r="B15" t="n">
        <v>0</v>
      </c>
      <c r="C15" t="n">
        <v>0</v>
      </c>
      <c r="D15" t="b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b">
        <v>0</v>
      </c>
    </row>
    <row r="17">
      <c r="A17" t="inlineStr">
        <is>
          <t>TURGUT REIS</t>
        </is>
      </c>
      <c r="B17" t="n">
        <v>6.9</v>
      </c>
      <c r="C17" t="n">
        <v>0.2</v>
      </c>
      <c r="D17" t="b">
        <v>0</v>
      </c>
    </row>
    <row r="18">
      <c r="A18" t="inlineStr">
        <is>
          <t>YAVUZ SELIM</t>
        </is>
      </c>
      <c r="B18" t="n">
        <v>17.2</v>
      </c>
      <c r="C18" t="n">
        <v>0.4985507246376811</v>
      </c>
      <c r="D1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</cols>
  <sheetData>
    <row r="1">
      <c r="A1" s="3" t="inlineStr">
        <is>
          <t>mahalle</t>
        </is>
      </c>
      <c r="B1" s="3" t="inlineStr">
        <is>
          <t>nufus_2024</t>
        </is>
      </c>
      <c r="C1" s="3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>
      <c r="A1" s="3" t="inlineStr">
        <is>
          <t>_id</t>
        </is>
      </c>
      <c r="B1" s="3" t="inlineStr">
        <is>
          <t>S_No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>
      <c r="A1" s="3" t="inlineStr">
        <is>
          <t>_id</t>
        </is>
      </c>
      <c r="B1" s="3" t="inlineStr">
        <is>
          <t>container_no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CA7 model kararlari:</t>
        </is>
      </c>
    </row>
    <row r="2">
      <c r="A2" t="inlineStr">
        <is>
          <t>1. L_i(gamma) = 0.50 + gamma * 0.50 * (R_i / R_max) — risk-orantili alt sinir</t>
        </is>
      </c>
    </row>
    <row r="3">
      <c r="A3" t="inlineStr">
        <is>
          <t>2. Iki mod: MEV (12 mevcut sabit) ve NMEV (full relocation)</t>
        </is>
      </c>
    </row>
    <row r="4">
      <c r="A4" t="inlineStr">
        <is>
          <t>3. gamma 0-1 arasinda 5 deger: kisit baglayiciligi analizi</t>
        </is>
      </c>
    </row>
    <row r="5">
      <c r="A5" t="inlineStr">
        <is>
          <t>4. CA7b lexicographic: max Z, sonra max sum_i (R_i/R_max) * mu_covered(i)</t>
        </is>
      </c>
    </row>
    <row r="6">
      <c r="A6" t="inlineStr"/>
    </row>
    <row r="7">
      <c r="A7" t="inlineStr">
        <is>
          <t>Onemli bulgular:</t>
        </is>
      </c>
    </row>
    <row r="8">
      <c r="A8" t="inlineStr">
        <is>
          <t>- MEV modunda mevcut 12 konteyner zaten yuksek L_i esiklerini karsiladigi icin secim degismez (kisit baglayici degil)</t>
        </is>
      </c>
    </row>
    <row r="9">
      <c r="A9" t="inlineStr">
        <is>
          <t>- NMEV modunda gamma arttikca secim farklilasir (gamma=1.0'da tamamen farkli 8 site)</t>
        </is>
      </c>
    </row>
    <row r="10">
      <c r="A10" t="inlineStr">
        <is>
          <t>- CA7b lex-optimal: Stage 2 Z karsilanamadan iyilestirme yok (Stage 1 zaten lex-optimal)</t>
        </is>
      </c>
    </row>
    <row r="11">
      <c r="A11" t="inlineStr">
        <is>
          <t>- Spearman rho(R, coverage) MEV: 0.67, NMEV g=0.0-0.25: 0.71, NMEV g=1.0: 0.71</t>
        </is>
      </c>
    </row>
    <row r="12">
      <c r="A12" t="inlineStr"/>
    </row>
    <row r="13">
      <c r="A13" t="inlineStr">
        <is>
          <t>Matematiksel referanslar:</t>
        </is>
      </c>
    </row>
    <row r="14">
      <c r="A14" t="inlineStr">
        <is>
          <t>- Marsh, M.T. &amp; Schilling, D.A. (1994). Equity measurement in facility location analysis. EJOR 74(1):1-17.</t>
        </is>
      </c>
    </row>
    <row r="15">
      <c r="A15" t="inlineStr">
        <is>
          <t>- Erkut, E. (1993). The discrete p-maxian problem. EJOR 46(1):75-86.</t>
        </is>
      </c>
    </row>
    <row r="16">
      <c r="A16" t="inlineStr">
        <is>
          <t>- Drezner, T. &amp; Drezner, Z. (2007). Equity in the law of unintended consequences. SEPS 41(1):1-11.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CA7 Ozet Raporu</t>
        </is>
      </c>
    </row>
    <row r="2">
      <c r="A2">
        <f>===============</f>
        <v/>
      </c>
    </row>
    <row r="3">
      <c r="A3" t="inlineStr"/>
    </row>
    <row r="4">
      <c r="A4" t="inlineStr">
        <is>
          <t>Pipeline: AHP -&gt; TOPSIS -&gt; FCM -&gt; 0-1 IP (CA7 equity-aware)</t>
        </is>
      </c>
    </row>
    <row r="5">
      <c r="A5" t="inlineStr">
        <is>
          <t>Toplam test: 5 gamma x 2 mod (MEV/NMEV) = 10 IP + 2 lex IP = 12 IP cozumu</t>
        </is>
      </c>
    </row>
    <row r="6">
      <c r="A6" t="inlineStr">
        <is>
          <t>Tum cozumler Optimal (CBC, simplex)</t>
        </is>
      </c>
    </row>
    <row r="7">
      <c r="A7" t="inlineStr"/>
    </row>
    <row r="8">
      <c r="A8" t="inlineStr">
        <is>
          <t>Anahtar Sonuclar:</t>
        </is>
      </c>
    </row>
    <row r="9">
      <c r="A9" t="inlineStr">
        <is>
          <t>- CA7a MEV (12 mevcut sabit): Tum gamma degerleri orijinal secimle ayni</t>
        </is>
      </c>
    </row>
    <row r="10">
      <c r="A10" t="inlineStr">
        <is>
          <t xml:space="preserve">  (S4, S59, S60, S61, S62, S83, S88, S141), Z = 935.62</t>
        </is>
      </c>
    </row>
    <row r="11">
      <c r="A11" t="inlineStr">
        <is>
          <t>- CA7a NMEV (full relocation):</t>
        </is>
      </c>
    </row>
    <row r="12">
      <c r="A12" t="inlineStr">
        <is>
          <t xml:space="preserve">  gamma=0.00-0.25: (4, 38, 59, 60, 62, 83, 88, 141), Z=472.13, rho=0.71</t>
        </is>
      </c>
    </row>
    <row r="13">
      <c r="A13" t="inlineStr">
        <is>
          <t xml:space="preserve">  gamma=0.50-0.75: (4, 39, 59, 62, 83, 88, 140, 141), Z=471.22, rho=0.67</t>
        </is>
      </c>
    </row>
    <row r="14">
      <c r="A14" t="inlineStr">
        <is>
          <t xml:space="preserve">  gamma=1.00: (4, 5, 43, 59, 60, 62, 83, 137), Z=465.76, rho=0.71</t>
        </is>
      </c>
    </row>
    <row r="15">
      <c r="A15" t="inlineStr">
        <is>
          <t>- CA7b lexicographic: Stage 1 zaten lex-optimal (Z karsilanamadan iyilestirme yok)</t>
        </is>
      </c>
    </row>
    <row r="16">
      <c r="A16" t="inlineStr"/>
    </row>
    <row r="17">
      <c r="A17" t="inlineStr">
        <is>
          <t>Yorum:</t>
        </is>
      </c>
    </row>
    <row r="18">
      <c r="A18" t="inlineStr">
        <is>
          <t>Mevcut 12 konteyner, en riskli mahalleler icin zaten yeterli coverage sagliyor.</t>
        </is>
      </c>
    </row>
    <row r="19">
      <c r="A19" t="inlineStr">
        <is>
          <t>Bu nedenle gamma-LB kisitlari baglayici degil ve secim degismez.</t>
        </is>
      </c>
    </row>
    <row r="20">
      <c r="A20" t="inlineStr">
        <is>
          <t>Full relocation senaryosunda gamma arttikca secim riskli mahallelere kayiyor.</t>
        </is>
      </c>
    </row>
    <row r="21">
      <c r="A21" t="inlineStr">
        <is>
          <t>En riskli 3 mahalle (ABDURRAHMANGAZI, HAMIDIYE, MEHMET AKIF) gamma=1.0'da L=1.0 hedefiyle</t>
        </is>
      </c>
    </row>
    <row r="22">
      <c r="A22" t="inlineStr">
        <is>
          <t>temin ediliyor; Z ~%1.6 kayip ile bu saglaniyor.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2026-06-04T06:59:03Z</dcterms:created>
  <dcterms:modified xmlns:dcterms="http://purl.org/dc/terms/" xmlns:xsi="http://www.w3.org/2001/XMLSchema-instance" xsi:type="dcterms:W3CDTF">2026-06-04T06:59:04Z</dcterms:modified>
</cp:coreProperties>
</file>