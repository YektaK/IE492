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E492\output\final\"/>
    </mc:Choice>
  </mc:AlternateContent>
  <xr:revisionPtr revIDLastSave="0" documentId="13_ncr:1_{17DF1FE9-EA20-4E8A-9990-5E6A9CE361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aylar_TOPSIS" sheetId="1" r:id="rId1"/>
    <sheet name="Aday_FCM_Uyelik" sheetId="2" r:id="rId2"/>
    <sheet name="Mevcut_FCM_Uyelik" sheetId="3" r:id="rId3"/>
    <sheet name="Mahalle_Riskleri" sheetId="4" r:id="rId4"/>
    <sheet name="Optimizasy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5" l="1"/>
  <c r="E27" i="5"/>
  <c r="D27" i="5"/>
  <c r="F26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F15" i="5"/>
  <c r="E15" i="5"/>
  <c r="D15" i="5"/>
  <c r="F14" i="5"/>
  <c r="E14" i="5"/>
  <c r="D14" i="5"/>
  <c r="E13" i="5"/>
  <c r="D13" i="5"/>
  <c r="E12" i="5"/>
  <c r="D12" i="5"/>
  <c r="E11" i="5"/>
  <c r="D11" i="5"/>
  <c r="F25" i="5" l="1"/>
  <c r="F24" i="5"/>
  <c r="F22" i="5"/>
  <c r="F12" i="5"/>
  <c r="F21" i="5"/>
  <c r="F20" i="5"/>
  <c r="F19" i="5"/>
  <c r="H26" i="5"/>
  <c r="F23" i="5"/>
  <c r="F18" i="5"/>
  <c r="H15" i="5"/>
  <c r="G14" i="5"/>
  <c r="F17" i="5"/>
  <c r="F16" i="5"/>
  <c r="G15" i="5"/>
  <c r="H14" i="5"/>
  <c r="F13" i="5"/>
  <c r="F11" i="5"/>
  <c r="G26" i="5"/>
  <c r="F27" i="5"/>
  <c r="G25" i="5" l="1"/>
  <c r="H25" i="5"/>
  <c r="G24" i="5"/>
  <c r="H24" i="5"/>
  <c r="G22" i="5"/>
  <c r="H22" i="5"/>
  <c r="G12" i="5"/>
  <c r="H12" i="5"/>
  <c r="G21" i="5"/>
  <c r="H21" i="5"/>
  <c r="G20" i="5"/>
  <c r="H20" i="5"/>
  <c r="G19" i="5"/>
  <c r="H19" i="5"/>
  <c r="H23" i="5"/>
  <c r="G23" i="5"/>
  <c r="G18" i="5"/>
  <c r="H18" i="5"/>
  <c r="G17" i="5"/>
  <c r="H17" i="5"/>
  <c r="H16" i="5"/>
  <c r="G16" i="5"/>
  <c r="G13" i="5"/>
  <c r="H13" i="5"/>
  <c r="H11" i="5"/>
  <c r="G11" i="5"/>
  <c r="G27" i="5"/>
  <c r="H27" i="5"/>
  <c r="G29" i="5" l="1"/>
</calcChain>
</file>

<file path=xl/sharedStrings.xml><?xml version="1.0" encoding="utf-8"?>
<sst xmlns="http://schemas.openxmlformats.org/spreadsheetml/2006/main" count="739" uniqueCount="233">
  <si>
    <t>S_No</t>
  </si>
  <si>
    <t>AYDES_ID</t>
  </si>
  <si>
    <t>Alan_Adi</t>
  </si>
  <si>
    <t>Mahalle</t>
  </si>
  <si>
    <t>Enlem</t>
  </si>
  <si>
    <t>Boylam</t>
  </si>
  <si>
    <t>C1_Damage</t>
  </si>
  <si>
    <t>C2_Logistics</t>
  </si>
  <si>
    <t>C3_GapDistance_m</t>
  </si>
  <si>
    <t>C4_NightPop</t>
  </si>
  <si>
    <t>CC_Baseline</t>
  </si>
  <si>
    <t>CC_DamageFocused</t>
  </si>
  <si>
    <t>CC_InfrastructureFocused</t>
  </si>
  <si>
    <t>X_j (binary)</t>
  </si>
  <si>
    <t>Abdurrahmangazi Cami Önü Toplanma Alanı</t>
  </si>
  <si>
    <t>ABDURRAHMANGAZİ</t>
  </si>
  <si>
    <t>Abdurrahmangazi Orman Toplanma Alanı</t>
  </si>
  <si>
    <t>Abdurrahman Gazi Parkı</t>
  </si>
  <si>
    <t>Ali Kuşçu İmam Hatip Ortaokulu Bahçesi</t>
  </si>
  <si>
    <t>Aydos Parkı</t>
  </si>
  <si>
    <t>Dumlupınar Parkı</t>
  </si>
  <si>
    <t>Mehmet Akif Ersoy İlkokulu Bahçesi</t>
  </si>
  <si>
    <t>Adil Parkı</t>
  </si>
  <si>
    <t>ADİL</t>
  </si>
  <si>
    <t>Filistin Parkı</t>
  </si>
  <si>
    <t>Osmangazi Parkı</t>
  </si>
  <si>
    <t>Sultanbeyli Özel Eğitim Mesleki Eğitim Merkezi (Okul) Bahçesi</t>
  </si>
  <si>
    <t>Şehitler Parkı</t>
  </si>
  <si>
    <t>Şehit Muhammed Fazlı Demir Anaokulu Bahçesi</t>
  </si>
  <si>
    <t>Şehit Vahit Kaşçıoğlu İmam Hatip Ortaokulu Bahçesi</t>
  </si>
  <si>
    <t>TOKİ Adil İlkokulu Bahçesi</t>
  </si>
  <si>
    <t>Yunus Emre Ortaokulu Bahçesi/Yunus Emre İmam Hatip Ortaokulu Bahçesi</t>
  </si>
  <si>
    <t>Ahmet Yesevi Orman Toplanma Alanı</t>
  </si>
  <si>
    <t>AHMET YESEVİ</t>
  </si>
  <si>
    <t>Ahmet Yesevi Parkı</t>
  </si>
  <si>
    <t>Barbaros Hayrettin Paşa Parkı</t>
  </si>
  <si>
    <t>Çağdaş Yaşam Türkan Tutumluer İlkokulu Bahçesi</t>
  </si>
  <si>
    <t>Kanuni Sultan Süleyman Parkı</t>
  </si>
  <si>
    <t>Kaptan-I Derya İlkokulu Bahçesi</t>
  </si>
  <si>
    <t>Kaptanı Derya Parkı</t>
  </si>
  <si>
    <t>Nilüfer Hatun Kız Anadolu İmam Hatip Lisesi</t>
  </si>
  <si>
    <t>Şehit Erdem Diker İmam Hatip Ortaokulu Bahçesi</t>
  </si>
  <si>
    <t>Akşemsettin İlkokulu ve Ortaokulu Bahçesi</t>
  </si>
  <si>
    <t>AKŞEMSETTİN</t>
  </si>
  <si>
    <t>Akşemsettin Parkı</t>
  </si>
  <si>
    <t>Genç Osman Ortaokulu Bahçesi</t>
  </si>
  <si>
    <t>Karanfil Cami Parkı</t>
  </si>
  <si>
    <t>Mevlana Parkı</t>
  </si>
  <si>
    <t>Molla Gürani Parkı</t>
  </si>
  <si>
    <t>Battalgazi İlkokulu ve Ortaokulu Bahçesi</t>
  </si>
  <si>
    <t>BATTALGAZİ</t>
  </si>
  <si>
    <t>Battalgazi Mahallesi Yeşil Alan Parkı</t>
  </si>
  <si>
    <t>Battalgazi Toplanma Alanı</t>
  </si>
  <si>
    <t>Belediye Fen İşleri Önü Toplanma Alanı</t>
  </si>
  <si>
    <t>Belediye Kapalı Spor Salonu Önü Toplanma Alanı</t>
  </si>
  <si>
    <t>Bosna Parkı</t>
  </si>
  <si>
    <t>Ertuğrul Gazi Ortaokulu Bahçesi</t>
  </si>
  <si>
    <t>Ertuğrul Gazi Parkı</t>
  </si>
  <si>
    <t>Esma Sultan Anaokulu Bahçesi</t>
  </si>
  <si>
    <t>Hatmi Sokak Parkı</t>
  </si>
  <si>
    <t>Muhsin Yazıcıoğlu Nikah Sarayı Önü Toplanma Alanı</t>
  </si>
  <si>
    <t>Muhsi Yazıcıoğlu Parkı</t>
  </si>
  <si>
    <t>Sabiha Gökçen Mesleki ve Teknik Anadolu Lisesi Bahçesi</t>
  </si>
  <si>
    <t>Selçuklu Parkı</t>
  </si>
  <si>
    <t>Sultan Alparslan Mesleki ve Teknik Anadolu Lisesi Bahçesi</t>
  </si>
  <si>
    <t>Sultanbeyli Çok Programlı Anadolu Lisesi Bahçesi</t>
  </si>
  <si>
    <t>Şehit Hamit Sütmen Parkı</t>
  </si>
  <si>
    <t>Şehit Öğretmen Hamit Sütmen İlkokulu ve Ortaokulu Bahçesi</t>
  </si>
  <si>
    <t>Teferrüçtepe Mesire Alanı</t>
  </si>
  <si>
    <t>Türktelekom Şehit Murat Naiboğlu Anadolu Lisesi Bahçesi</t>
  </si>
  <si>
    <t>Anafartalar İmam Hatip Ortaokulu Bahçesi</t>
  </si>
  <si>
    <t>FATİH</t>
  </si>
  <si>
    <t>Fatih Ortaokulu Bahçesi</t>
  </si>
  <si>
    <t>Fatih Sultan Mehmet Parkı</t>
  </si>
  <si>
    <t>Gölet İlkokulu Bahçesi</t>
  </si>
  <si>
    <t>Hamidiye Park Alanı</t>
  </si>
  <si>
    <t>Namık Kemal İlkokulu ve Ortaokulu Bahçesi</t>
  </si>
  <si>
    <t>Sultanbeyli Gölet Futbol Stadı</t>
  </si>
  <si>
    <t>Eşref Bitlis Parkı</t>
  </si>
  <si>
    <t>HAMİDİYE</t>
  </si>
  <si>
    <t>İbrahim Dede Parkı</t>
  </si>
  <si>
    <t>İstanbul Ticaret Odası Şehit Er Dursun Sıvaz İlkokulu Bahçesi</t>
  </si>
  <si>
    <t>Mevlana Ortaokulu Bahçesi</t>
  </si>
  <si>
    <t>Ahmet Yener Ortaokulu Bahçesi</t>
  </si>
  <si>
    <t>HASANPAŞA</t>
  </si>
  <si>
    <t>Cahar Dudayev Parkı</t>
  </si>
  <si>
    <t>Gülbahar Hatun Anaokulu Bahçesi</t>
  </si>
  <si>
    <t>Hasanpaşa İlkokulu Bahçesi</t>
  </si>
  <si>
    <t>Hasanpaşa Parkı</t>
  </si>
  <si>
    <t>Hüsnü M. Özyeğin Anadolu Lisesi Bahçesi</t>
  </si>
  <si>
    <t>Tevhid Parkı</t>
  </si>
  <si>
    <t>Ahmet Yesevi İlkokulu Bahçesi</t>
  </si>
  <si>
    <t>MECİDİYE</t>
  </si>
  <si>
    <t>Cahit Zarifoğlu İmam Hatip  Ortaokulu Bahçesi</t>
  </si>
  <si>
    <t>İstanbulensis Parkı</t>
  </si>
  <si>
    <t>Maraşal Fevzi Çakmak Ortaokulu Bahçesi</t>
  </si>
  <si>
    <t>Mecidiye Anaokulu Bahçesi</t>
  </si>
  <si>
    <t>Mecidiye Parkı</t>
  </si>
  <si>
    <t>Mehmet Corcor İlkokulu Bahçesi</t>
  </si>
  <si>
    <t>Şeyh Edebali Parkı</t>
  </si>
  <si>
    <t>Vega Koleji Bahçesi</t>
  </si>
  <si>
    <t>Yavuz Sultan Selim Parkı</t>
  </si>
  <si>
    <t>Adnan Kahveci Parkı</t>
  </si>
  <si>
    <t>MEHMET AKİF</t>
  </si>
  <si>
    <t>Aydos Ortaokulu - Aydos İmam Hatip Ortaokulu Bahçesi</t>
  </si>
  <si>
    <t>Enderun Sokak Parkı</t>
  </si>
  <si>
    <t>Mehmet Akif Ersoy Parkı</t>
  </si>
  <si>
    <t>Aydos Kalesi Toplanma Alanı</t>
  </si>
  <si>
    <t>Sultanbeyli Kız Anadolu İmam Hatip Lisesi Bahçesi</t>
  </si>
  <si>
    <t>Şehit Erkan Karakaş Parkı</t>
  </si>
  <si>
    <t>Şehit Üsteğmen Rahim Çelik Parkı</t>
  </si>
  <si>
    <t>Yunus Emre Parkı</t>
  </si>
  <si>
    <t>75. Yıl Stadyumu</t>
  </si>
  <si>
    <t>MİMAR SİNAN</t>
  </si>
  <si>
    <t>Afet ve Eğitim Parkı</t>
  </si>
  <si>
    <t>Aliya İzzet Begoviç Parkı</t>
  </si>
  <si>
    <t>Aziz Sancar Anadolu Lisesi Bahçesi</t>
  </si>
  <si>
    <t>Cumhuriyet Parkı 1</t>
  </si>
  <si>
    <t>Cumhuriyet Parkı 2</t>
  </si>
  <si>
    <t>Hacı Veyiszade Parkı</t>
  </si>
  <si>
    <t>Kut-Ül Amare Parkı</t>
  </si>
  <si>
    <t>Mimar Sinan İlkokulu ve Ortaokulu Bahçesi</t>
  </si>
  <si>
    <t>Mimar Sinan Parkı</t>
  </si>
  <si>
    <t>Mustafa Kemal Atatürk Parkı 1</t>
  </si>
  <si>
    <t>Mustafa Kemal Atatürk Parkı 2</t>
  </si>
  <si>
    <t>Naim Süleymanoğlu Spor Lisesi Bahçesi</t>
  </si>
  <si>
    <t>Nene Hatun İlkokulu Bahçesi</t>
  </si>
  <si>
    <t>Özgürlük Parkı</t>
  </si>
  <si>
    <t>Sultanbeyli Anadolu İmam Hatip Lisesi Bahçesi</t>
  </si>
  <si>
    <t>Sultanbeyli İbrahim Hakkı Anadolu Lisesi Bahçesi</t>
  </si>
  <si>
    <t>Şehit Fatih Efiloğlu Parkı</t>
  </si>
  <si>
    <t>Şehit İhsan Yıldız İmam Hatip Ortaokulu Bahçesi</t>
  </si>
  <si>
    <t>T.H.K. Gazi Ortaokulu Bahçesi</t>
  </si>
  <si>
    <t>TOGEMDER Özel Eğitim Anaokulu Bahçesi</t>
  </si>
  <si>
    <t>Turhan Feyzioğlu Mesleki ve Teknik Anadolu Lisesi Bahçesi</t>
  </si>
  <si>
    <t>Yıldırım Beyazıt İlkokulu ve Ortaokulu Bahçesi</t>
  </si>
  <si>
    <t>Abdülhakim Arvasi Parkı</t>
  </si>
  <si>
    <t>NECİP FAZIL</t>
  </si>
  <si>
    <t>Aydos Sosyal Tesisi</t>
  </si>
  <si>
    <t>Cumhuriyet İlkokulu ve Ortaokulu Bahçesi</t>
  </si>
  <si>
    <t>Kaynaşlı Sk. Parkı</t>
  </si>
  <si>
    <t>Necip Fazıl İmam Hatip Ortaokulu Bahçesi</t>
  </si>
  <si>
    <t>Necip Fazıl Kısakürek Parkı</t>
  </si>
  <si>
    <t>Yahya Kemal Beyatlı Mesleki ve Teknik Anadolu Lisesi Bahçesi</t>
  </si>
  <si>
    <t>Yavuz Selim Orman Toplanma Alanı</t>
  </si>
  <si>
    <t>İBB Orhangazi İmam Hatip Ortaokulu Bahçesi</t>
  </si>
  <si>
    <t>ORHANGAZİ</t>
  </si>
  <si>
    <t>Orhan Gazi Anadolu İmam Hatip Lisesi Bahçesi.</t>
  </si>
  <si>
    <t>Orhangazi Parkı</t>
  </si>
  <si>
    <t>Sultan Alparslan Parkı</t>
  </si>
  <si>
    <t>Sultanbeyli Mesleki Eğitim Merkezi Bahçesi</t>
  </si>
  <si>
    <t>Sultan Cami Bahçesi</t>
  </si>
  <si>
    <t>Valide Mehri Hatun Cami Bahçesi</t>
  </si>
  <si>
    <t>Zübeyde Hanım İlkokulu Bahçesi</t>
  </si>
  <si>
    <t>Adnan Menderes Parkı</t>
  </si>
  <si>
    <t>TURGUT REİS</t>
  </si>
  <si>
    <t>Atatürk Ortaokulu Bahçesi</t>
  </si>
  <si>
    <t>Dr. İmer Adalı Paksoy Parkı</t>
  </si>
  <si>
    <t>Erol Yüksel Ortaokulu Bahçesi</t>
  </si>
  <si>
    <t>Turgut Reis İlkokulu Bahçesi</t>
  </si>
  <si>
    <t>Turgut Reis Orman Alanı</t>
  </si>
  <si>
    <t>Turgut Reis Parkı</t>
  </si>
  <si>
    <t>Aşık Veysel Parkı</t>
  </si>
  <si>
    <t>YAVUZ SELİM</t>
  </si>
  <si>
    <t>Emin Çarlı Parkı</t>
  </si>
  <si>
    <t>Fuat Sezgin Anadolu İmam Hatip Lisesi Bahçesi</t>
  </si>
  <si>
    <t>Hacı Bektaşı Veli Parkı</t>
  </si>
  <si>
    <t>Sultanbeyli Gölet Sosyal Tesis Alanı</t>
  </si>
  <si>
    <t>Yaşar Paşalı İlkokulu Bahçesi</t>
  </si>
  <si>
    <t>ABDURRAHMANGAZI</t>
  </si>
  <si>
    <t>ADIL</t>
  </si>
  <si>
    <t>AHMET YESEVI</t>
  </si>
  <si>
    <t>AKSEMSETTIN</t>
  </si>
  <si>
    <t>BATTALGAZI</t>
  </si>
  <si>
    <t>FATIH</t>
  </si>
  <si>
    <t>HAMIDIYE</t>
  </si>
  <si>
    <t>HASANPASA</t>
  </si>
  <si>
    <t>MECIDIYE</t>
  </si>
  <si>
    <t>MEHMET AKIF</t>
  </si>
  <si>
    <t>MIMAR SINAN</t>
  </si>
  <si>
    <t>NECIP FAZIL</t>
  </si>
  <si>
    <t>ORHANGAZI</t>
  </si>
  <si>
    <t>SALGAMLI DEVLET ORMANI</t>
  </si>
  <si>
    <t>TEFERRUC TEPE ORMANI</t>
  </si>
  <si>
    <t>TURGUT REIS</t>
  </si>
  <si>
    <t>YAVUZ SELIM</t>
  </si>
  <si>
    <t>container_no</t>
  </si>
  <si>
    <t>adres</t>
  </si>
  <si>
    <t>mahalle</t>
  </si>
  <si>
    <t>Turk Hava Kurumu Gazi Ortaokulu</t>
  </si>
  <si>
    <t>Aydos Kalesi Guvenlik Yani</t>
  </si>
  <si>
    <t>Polis Karakolu / Eski Emniyet</t>
  </si>
  <si>
    <t>Sultan Korosu Acik Otoparki</t>
  </si>
  <si>
    <t>Sultanbeyli Meslek ve Teknik Anadolu Lisesi</t>
  </si>
  <si>
    <t>Husnu M. Ozyegin Anadolu Lisesi</t>
  </si>
  <si>
    <t>Saygi Hastanesi Otoparki</t>
  </si>
  <si>
    <t>Kiz Anadolu Imam Hatip Lisesi</t>
  </si>
  <si>
    <t>Aksemsettin Ilk ve Ortaogretim Okulu</t>
  </si>
  <si>
    <t>Orhangazi Imam-Hatip Ortaokulu</t>
  </si>
  <si>
    <t>Cumhuriyet Ilkokulu ve Ortaogretim Okulu</t>
  </si>
  <si>
    <t>Yasar Pasali Ilkokulu</t>
  </si>
  <si>
    <t>R_risk_weight</t>
  </si>
  <si>
    <t>nufus_2024</t>
  </si>
  <si>
    <t>is_critical</t>
  </si>
  <si>
    <t>enlem</t>
  </si>
  <si>
    <t>boylam</t>
  </si>
  <si>
    <t>YES</t>
  </si>
  <si>
    <t>NO</t>
  </si>
  <si>
    <t>0-1 TAMSAYILI PROGRAMLAMA - SULTANBEYLI KONTEYNER YER SECIMI</t>
  </si>
  <si>
    <t>Amaç: Z = SUM_i R_i * [SUM_k mu(i,k) + SUM_j (mu(i,j) * X_j)]  maksimize edilecek</t>
  </si>
  <si>
    <t>Kısıt 1: SUM_j X_j = 8  (Adaylar_TOPSIS!O sütununda 8 tane X_j = 1 olacak)</t>
  </si>
  <si>
    <t>Kısıt 2: Karar hücreleri binary (0 veya 1)</t>
  </si>
  <si>
    <t>Kısıt 3 (HARD): Kritik mahalleler için toplam kapsama &gt;= 0.50</t>
  </si>
  <si>
    <t>Kısıt 4 (SOFT): Alternatif olarak penalty ile çözüm için 04_zero_one_ip.py kullanın</t>
  </si>
  <si>
    <t>Solver: Data &gt; Solver &gt; Set Objective: =SUM(I4:I20)  By Changing: O2:O141  Constraints: 8 SUM, binary</t>
  </si>
  <si>
    <t>R_risk</t>
  </si>
  <si>
    <t>Baseline_coverage_12 (SUM mu_mevcut)</t>
  </si>
  <si>
    <t>New_coverage_8 (SUMPRODUCT mu_aday * X_j)</t>
  </si>
  <si>
    <t>Total_coverage_20</t>
  </si>
  <si>
    <t>Coverage_x_R</t>
  </si>
  <si>
    <t>Meets_threshold?</t>
  </si>
  <si>
    <t>OBJECTIVE Z (sum of Coverage_x_R):</t>
  </si>
  <si>
    <t>SUM of X_j (must equal 8):</t>
  </si>
  <si>
    <t>SOLVER KURULUM ADIMLARI:</t>
  </si>
  <si>
    <t>1) Excel &gt; Data &gt; Solver (yoksa File &gt; Options &gt; Add-ins &gt; Solver Add-in)</t>
  </si>
  <si>
    <t>2) Set Objective: $G$29  (Maksimize)</t>
  </si>
  <si>
    <t>3) By Changing Variable Cells: Adaylar_TOPSIS!$O$2:$O$141</t>
  </si>
  <si>
    <t>4) Constraints:</t>
  </si>
  <si>
    <t xml:space="preserve">     - SUM(Adaylar_TOPSIS!$O$2:$O$141) = 8</t>
  </si>
  <si>
    <t xml:space="preserve">     - Adaylar_TOPSIS!$O$2:$O$141 binary</t>
  </si>
  <si>
    <t xml:space="preserve">     - (HARD) F11:F27 where C=YES &gt;= 0.5</t>
  </si>
  <si>
    <t>5) Solving Method: Simplex LP</t>
  </si>
  <si>
    <t>6) Click Solve. The 8 X_j = 1 will be highlighted in Adaylar_TOPSIS.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</si>
</sst>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color rgb="FF00B050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FD966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3" fillId="6" borderId="0" xfId="0" applyFont="1" applyFill="1"/>
    <xf numFmtId="0" fontId="2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"/>
  <sheetViews>
    <sheetView tabSelected="1" topLeftCell="C1" workbookViewId="0">
      <pane ySplit="1" topLeftCell="A2" activePane="bottomLeft" state="frozen"/>
      <selection pane="bottomLeft"/>
    </sheetView>
  </sheetViews>
  <sheetFormatPr defaultRowHeight="15" x14ac:dyDescent="0.25"/>
  <cols>
    <col min="1" max="2" width="18" customWidth="1"/>
    <col min="3" max="3" width="50" customWidth="1"/>
    <col min="4" max="14" width="18" customWidth="1"/>
    <col min="15" max="15" width="1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x14ac:dyDescent="0.25">
      <c r="A2">
        <v>1</v>
      </c>
      <c r="B2">
        <v>151439766</v>
      </c>
      <c r="C2" t="s">
        <v>14</v>
      </c>
      <c r="D2" t="s">
        <v>15</v>
      </c>
      <c r="E2">
        <v>40.968841609945329</v>
      </c>
      <c r="F2">
        <v>29.25648757553958</v>
      </c>
      <c r="G2">
        <v>34.5</v>
      </c>
      <c r="H2">
        <v>0</v>
      </c>
      <c r="I2">
        <v>167.07155681865521</v>
      </c>
      <c r="J2">
        <v>41200</v>
      </c>
      <c r="K2">
        <v>0.66558927674129709</v>
      </c>
      <c r="L2">
        <v>0.75325115829798706</v>
      </c>
      <c r="M2">
        <v>0.51091535681874289</v>
      </c>
      <c r="O2">
        <v>0</v>
      </c>
    </row>
    <row r="3" spans="1:15" x14ac:dyDescent="0.25">
      <c r="A3">
        <v>2</v>
      </c>
      <c r="B3">
        <v>151349188</v>
      </c>
      <c r="C3" t="s">
        <v>16</v>
      </c>
      <c r="D3" t="s">
        <v>15</v>
      </c>
      <c r="E3">
        <v>40.957668758224969</v>
      </c>
      <c r="F3">
        <v>29.251359094232701</v>
      </c>
      <c r="G3">
        <v>34.5</v>
      </c>
      <c r="H3">
        <v>0.66666666666666663</v>
      </c>
      <c r="I3">
        <v>1093.217262691544</v>
      </c>
      <c r="J3">
        <v>41200</v>
      </c>
      <c r="K3">
        <v>0.85506157136397143</v>
      </c>
      <c r="L3">
        <v>0.89743965656679969</v>
      </c>
      <c r="M3">
        <v>0.7837044119663038</v>
      </c>
      <c r="O3">
        <v>0</v>
      </c>
    </row>
    <row r="4" spans="1:15" x14ac:dyDescent="0.25">
      <c r="A4">
        <v>3</v>
      </c>
      <c r="B4">
        <v>151349322</v>
      </c>
      <c r="C4" t="s">
        <v>17</v>
      </c>
      <c r="D4" t="s">
        <v>15</v>
      </c>
      <c r="E4">
        <v>40.956801792143487</v>
      </c>
      <c r="F4">
        <v>29.259991216048849</v>
      </c>
      <c r="G4">
        <v>34.5</v>
      </c>
      <c r="H4">
        <v>0</v>
      </c>
      <c r="I4">
        <v>456.5767270301306</v>
      </c>
      <c r="J4">
        <v>41200</v>
      </c>
      <c r="K4">
        <v>0.67743883880763289</v>
      </c>
      <c r="L4">
        <v>0.7633091940360679</v>
      </c>
      <c r="M4">
        <v>0.51669254793615926</v>
      </c>
      <c r="O4">
        <v>0</v>
      </c>
    </row>
    <row r="5" spans="1:15" x14ac:dyDescent="0.25">
      <c r="A5">
        <v>4</v>
      </c>
      <c r="B5">
        <v>151349319</v>
      </c>
      <c r="C5" t="s">
        <v>18</v>
      </c>
      <c r="D5" t="s">
        <v>15</v>
      </c>
      <c r="E5">
        <v>40.964895171714602</v>
      </c>
      <c r="F5">
        <v>29.262421017418148</v>
      </c>
      <c r="G5">
        <v>34.5</v>
      </c>
      <c r="H5">
        <v>0.66666666666666663</v>
      </c>
      <c r="I5">
        <v>605.90328609429787</v>
      </c>
      <c r="J5">
        <v>41200</v>
      </c>
      <c r="K5">
        <v>0.81306445649552661</v>
      </c>
      <c r="L5">
        <v>0.86539096895320511</v>
      </c>
      <c r="M5">
        <v>0.75571918709388641</v>
      </c>
      <c r="O5">
        <v>0</v>
      </c>
    </row>
    <row r="6" spans="1:15" x14ac:dyDescent="0.25">
      <c r="A6">
        <v>5</v>
      </c>
      <c r="B6">
        <v>151349318</v>
      </c>
      <c r="C6" t="s">
        <v>19</v>
      </c>
      <c r="D6" t="s">
        <v>15</v>
      </c>
      <c r="E6">
        <v>40.962466450740152</v>
      </c>
      <c r="F6">
        <v>29.25452742625226</v>
      </c>
      <c r="G6">
        <v>34.5</v>
      </c>
      <c r="H6">
        <v>0.33333333333333331</v>
      </c>
      <c r="I6">
        <v>873.7326572938648</v>
      </c>
      <c r="J6">
        <v>41200</v>
      </c>
      <c r="K6">
        <v>0.76198046315672108</v>
      </c>
      <c r="L6">
        <v>0.8295278866641822</v>
      </c>
      <c r="M6">
        <v>0.62834610967235793</v>
      </c>
      <c r="O6">
        <v>0</v>
      </c>
    </row>
    <row r="7" spans="1:15" x14ac:dyDescent="0.25">
      <c r="A7">
        <v>6</v>
      </c>
      <c r="B7">
        <v>151349317</v>
      </c>
      <c r="C7" t="s">
        <v>20</v>
      </c>
      <c r="D7" t="s">
        <v>15</v>
      </c>
      <c r="E7">
        <v>40.966722396897467</v>
      </c>
      <c r="F7">
        <v>29.253683625356711</v>
      </c>
      <c r="G7">
        <v>34.5</v>
      </c>
      <c r="H7">
        <v>0</v>
      </c>
      <c r="I7">
        <v>488.62585869173017</v>
      </c>
      <c r="J7">
        <v>41200</v>
      </c>
      <c r="K7">
        <v>0.67869424275519785</v>
      </c>
      <c r="L7">
        <v>0.7643543832593136</v>
      </c>
      <c r="M7">
        <v>0.51733501866593679</v>
      </c>
      <c r="O7">
        <v>0</v>
      </c>
    </row>
    <row r="8" spans="1:15" x14ac:dyDescent="0.25">
      <c r="A8">
        <v>7</v>
      </c>
      <c r="B8">
        <v>151349320</v>
      </c>
      <c r="C8" t="s">
        <v>21</v>
      </c>
      <c r="D8" t="s">
        <v>15</v>
      </c>
      <c r="E8">
        <v>40.955539283795041</v>
      </c>
      <c r="F8">
        <v>29.25703415059688</v>
      </c>
      <c r="G8">
        <v>34.5</v>
      </c>
      <c r="H8">
        <v>0.66666666666666663</v>
      </c>
      <c r="I8">
        <v>561.20961044002343</v>
      </c>
      <c r="J8">
        <v>41200</v>
      </c>
      <c r="K8">
        <v>0.80899389242319664</v>
      </c>
      <c r="L8">
        <v>0.86224226759724321</v>
      </c>
      <c r="M8">
        <v>0.75281740141100573</v>
      </c>
      <c r="O8">
        <v>0</v>
      </c>
    </row>
    <row r="9" spans="1:15" x14ac:dyDescent="0.25">
      <c r="A9">
        <v>8</v>
      </c>
      <c r="B9">
        <v>151349262</v>
      </c>
      <c r="C9" t="s">
        <v>22</v>
      </c>
      <c r="D9" t="s">
        <v>23</v>
      </c>
      <c r="E9">
        <v>40.98660877990487</v>
      </c>
      <c r="F9">
        <v>29.25958684878389</v>
      </c>
      <c r="G9">
        <v>3.4</v>
      </c>
      <c r="H9">
        <v>0</v>
      </c>
      <c r="I9">
        <v>881.86359977991435</v>
      </c>
      <c r="J9">
        <v>23800</v>
      </c>
      <c r="K9">
        <v>0.12388135120929129</v>
      </c>
      <c r="L9">
        <v>9.0267953574662746E-2</v>
      </c>
      <c r="M9">
        <v>0.1197604653791299</v>
      </c>
      <c r="O9">
        <v>0</v>
      </c>
    </row>
    <row r="10" spans="1:15" x14ac:dyDescent="0.25">
      <c r="A10">
        <v>9</v>
      </c>
      <c r="B10">
        <v>151349261</v>
      </c>
      <c r="C10" t="s">
        <v>24</v>
      </c>
      <c r="D10" t="s">
        <v>23</v>
      </c>
      <c r="E10">
        <v>40.975172040102763</v>
      </c>
      <c r="F10">
        <v>29.257529407998351</v>
      </c>
      <c r="G10">
        <v>3.4</v>
      </c>
      <c r="H10">
        <v>0</v>
      </c>
      <c r="I10">
        <v>587.04917019448305</v>
      </c>
      <c r="J10">
        <v>23800</v>
      </c>
      <c r="K10">
        <v>8.688852001760794E-2</v>
      </c>
      <c r="L10">
        <v>6.277949160282574E-2</v>
      </c>
      <c r="M10">
        <v>8.4024876530972598E-2</v>
      </c>
      <c r="O10">
        <v>0</v>
      </c>
    </row>
    <row r="11" spans="1:15" x14ac:dyDescent="0.25">
      <c r="A11">
        <v>10</v>
      </c>
      <c r="B11">
        <v>151349263</v>
      </c>
      <c r="C11" t="s">
        <v>25</v>
      </c>
      <c r="D11" t="s">
        <v>23</v>
      </c>
      <c r="E11">
        <v>40.977589516561018</v>
      </c>
      <c r="F11">
        <v>29.259088310507959</v>
      </c>
      <c r="G11">
        <v>3.4</v>
      </c>
      <c r="H11">
        <v>0</v>
      </c>
      <c r="I11">
        <v>860.8355345898824</v>
      </c>
      <c r="J11">
        <v>23800</v>
      </c>
      <c r="K11">
        <v>0.1213151394277615</v>
      </c>
      <c r="L11">
        <v>8.8344449852059609E-2</v>
      </c>
      <c r="M11">
        <v>0.1172773538291887</v>
      </c>
      <c r="O11">
        <v>0</v>
      </c>
    </row>
    <row r="12" spans="1:15" x14ac:dyDescent="0.25">
      <c r="A12">
        <v>11</v>
      </c>
      <c r="B12">
        <v>151349264</v>
      </c>
      <c r="C12" t="s">
        <v>26</v>
      </c>
      <c r="D12" t="s">
        <v>23</v>
      </c>
      <c r="E12">
        <v>40.984111774193067</v>
      </c>
      <c r="F12">
        <v>29.258911527874599</v>
      </c>
      <c r="G12">
        <v>3.4</v>
      </c>
      <c r="H12">
        <v>0.66666666666666663</v>
      </c>
      <c r="I12">
        <v>1109.6910905458451</v>
      </c>
      <c r="J12">
        <v>23800</v>
      </c>
      <c r="K12">
        <v>0.25261758897745468</v>
      </c>
      <c r="L12">
        <v>0.1818332301459594</v>
      </c>
      <c r="M12">
        <v>0.38046197087743622</v>
      </c>
      <c r="O12">
        <v>0</v>
      </c>
    </row>
    <row r="13" spans="1:15" x14ac:dyDescent="0.25">
      <c r="A13">
        <v>12</v>
      </c>
      <c r="B13">
        <v>151349260</v>
      </c>
      <c r="C13" t="s">
        <v>27</v>
      </c>
      <c r="D13" t="s">
        <v>23</v>
      </c>
      <c r="E13">
        <v>40.980159251427317</v>
      </c>
      <c r="F13">
        <v>29.258735697219791</v>
      </c>
      <c r="G13">
        <v>3.4</v>
      </c>
      <c r="H13">
        <v>0.33333333333333331</v>
      </c>
      <c r="I13">
        <v>1142.932049859819</v>
      </c>
      <c r="J13">
        <v>23800</v>
      </c>
      <c r="K13">
        <v>0.18991948957804861</v>
      </c>
      <c r="L13">
        <v>0.13678386308018231</v>
      </c>
      <c r="M13">
        <v>0.24664945169547889</v>
      </c>
      <c r="O13">
        <v>0</v>
      </c>
    </row>
    <row r="14" spans="1:15" x14ac:dyDescent="0.25">
      <c r="A14">
        <v>13</v>
      </c>
      <c r="B14">
        <v>151349265</v>
      </c>
      <c r="C14" t="s">
        <v>28</v>
      </c>
      <c r="D14" t="s">
        <v>23</v>
      </c>
      <c r="E14">
        <v>40.98190713680755</v>
      </c>
      <c r="F14">
        <v>29.256878197438969</v>
      </c>
      <c r="G14">
        <v>3.4</v>
      </c>
      <c r="H14">
        <v>1</v>
      </c>
      <c r="I14">
        <v>1273.2191806362639</v>
      </c>
      <c r="J14">
        <v>23800</v>
      </c>
      <c r="K14">
        <v>0.32335982291959159</v>
      </c>
      <c r="L14">
        <v>0.23715254707811101</v>
      </c>
      <c r="M14">
        <v>0.48423346123500688</v>
      </c>
      <c r="O14">
        <v>0</v>
      </c>
    </row>
    <row r="15" spans="1:15" x14ac:dyDescent="0.25">
      <c r="A15">
        <v>14</v>
      </c>
      <c r="B15">
        <v>151349266</v>
      </c>
      <c r="C15" t="s">
        <v>29</v>
      </c>
      <c r="D15" t="s">
        <v>23</v>
      </c>
      <c r="E15">
        <v>40.98197317565009</v>
      </c>
      <c r="F15">
        <v>29.255574637426779</v>
      </c>
      <c r="G15">
        <v>3.4</v>
      </c>
      <c r="H15">
        <v>1</v>
      </c>
      <c r="I15">
        <v>1251.73249294428</v>
      </c>
      <c r="J15">
        <v>23800</v>
      </c>
      <c r="K15">
        <v>0.3225176026315319</v>
      </c>
      <c r="L15">
        <v>0.23645113319074859</v>
      </c>
      <c r="M15">
        <v>0.48380243690637342</v>
      </c>
      <c r="O15">
        <v>0</v>
      </c>
    </row>
    <row r="16" spans="1:15" x14ac:dyDescent="0.25">
      <c r="A16">
        <v>15</v>
      </c>
      <c r="B16">
        <v>151349267</v>
      </c>
      <c r="C16" t="s">
        <v>30</v>
      </c>
      <c r="D16" t="s">
        <v>23</v>
      </c>
      <c r="E16">
        <v>40.979676852180958</v>
      </c>
      <c r="F16">
        <v>29.255201445422621</v>
      </c>
      <c r="G16">
        <v>3.4</v>
      </c>
      <c r="H16">
        <v>0.66666666666666663</v>
      </c>
      <c r="I16">
        <v>996.07303214096612</v>
      </c>
      <c r="J16">
        <v>23800</v>
      </c>
      <c r="K16">
        <v>0.2463191436368454</v>
      </c>
      <c r="L16">
        <v>0.1768369567182001</v>
      </c>
      <c r="M16">
        <v>0.37685887498513082</v>
      </c>
      <c r="O16">
        <v>0</v>
      </c>
    </row>
    <row r="17" spans="1:15" x14ac:dyDescent="0.25">
      <c r="A17">
        <v>16</v>
      </c>
      <c r="B17">
        <v>151349268</v>
      </c>
      <c r="C17" t="s">
        <v>31</v>
      </c>
      <c r="D17" t="s">
        <v>23</v>
      </c>
      <c r="E17">
        <v>40.98072340092061</v>
      </c>
      <c r="F17">
        <v>29.262384109073381</v>
      </c>
      <c r="G17">
        <v>3.4</v>
      </c>
      <c r="H17">
        <v>0.66666666666666663</v>
      </c>
      <c r="I17">
        <v>1261.008303589103</v>
      </c>
      <c r="J17">
        <v>23800</v>
      </c>
      <c r="K17">
        <v>0.26141671013111101</v>
      </c>
      <c r="L17">
        <v>0.188889234587545</v>
      </c>
      <c r="M17">
        <v>0.38546274088263499</v>
      </c>
      <c r="O17">
        <v>0</v>
      </c>
    </row>
    <row r="18" spans="1:15" x14ac:dyDescent="0.25">
      <c r="A18">
        <v>17</v>
      </c>
      <c r="B18">
        <v>151349327</v>
      </c>
      <c r="C18" t="s">
        <v>32</v>
      </c>
      <c r="D18" t="s">
        <v>33</v>
      </c>
      <c r="E18">
        <v>40.975909818128919</v>
      </c>
      <c r="F18">
        <v>29.281574661865552</v>
      </c>
      <c r="G18">
        <v>19.8</v>
      </c>
      <c r="H18">
        <v>0</v>
      </c>
      <c r="I18">
        <v>941.20443405681726</v>
      </c>
      <c r="J18">
        <v>28600</v>
      </c>
      <c r="K18">
        <v>0.45920292972818277</v>
      </c>
      <c r="L18">
        <v>0.49291224580616999</v>
      </c>
      <c r="M18">
        <v>0.35242083738509739</v>
      </c>
      <c r="O18">
        <v>0</v>
      </c>
    </row>
    <row r="19" spans="1:15" x14ac:dyDescent="0.25">
      <c r="A19">
        <v>18</v>
      </c>
      <c r="B19">
        <v>151349191</v>
      </c>
      <c r="C19" t="s">
        <v>34</v>
      </c>
      <c r="D19" t="s">
        <v>33</v>
      </c>
      <c r="E19">
        <v>40.973271863288431</v>
      </c>
      <c r="F19">
        <v>29.264825621528001</v>
      </c>
      <c r="G19">
        <v>19.8</v>
      </c>
      <c r="H19">
        <v>0.33333333333333331</v>
      </c>
      <c r="I19">
        <v>538.20760812384447</v>
      </c>
      <c r="J19">
        <v>28600</v>
      </c>
      <c r="K19">
        <v>0.48483675843558249</v>
      </c>
      <c r="L19">
        <v>0.50638087512903762</v>
      </c>
      <c r="M19">
        <v>0.4342261559096629</v>
      </c>
      <c r="O19">
        <v>0</v>
      </c>
    </row>
    <row r="20" spans="1:15" x14ac:dyDescent="0.25">
      <c r="A20">
        <v>19</v>
      </c>
      <c r="B20">
        <v>151349194</v>
      </c>
      <c r="C20" t="s">
        <v>35</v>
      </c>
      <c r="D20" t="s">
        <v>33</v>
      </c>
      <c r="E20">
        <v>40.9739533840579</v>
      </c>
      <c r="F20">
        <v>29.276975898323279</v>
      </c>
      <c r="G20">
        <v>19.8</v>
      </c>
      <c r="H20">
        <v>0</v>
      </c>
      <c r="I20">
        <v>886.77191883783826</v>
      </c>
      <c r="J20">
        <v>28600</v>
      </c>
      <c r="K20">
        <v>0.45720694730579248</v>
      </c>
      <c r="L20">
        <v>0.49185881616760702</v>
      </c>
      <c r="M20">
        <v>0.35048395387895892</v>
      </c>
      <c r="O20">
        <v>0</v>
      </c>
    </row>
    <row r="21" spans="1:15" x14ac:dyDescent="0.25">
      <c r="A21">
        <v>20</v>
      </c>
      <c r="B21">
        <v>151349195</v>
      </c>
      <c r="C21" t="s">
        <v>36</v>
      </c>
      <c r="D21" t="s">
        <v>33</v>
      </c>
      <c r="E21">
        <v>40.974685082599223</v>
      </c>
      <c r="F21">
        <v>29.281194669825489</v>
      </c>
      <c r="G21">
        <v>19.8</v>
      </c>
      <c r="H21">
        <v>0.66666666666666663</v>
      </c>
      <c r="I21">
        <v>1052.8507702402951</v>
      </c>
      <c r="J21">
        <v>28600</v>
      </c>
      <c r="K21">
        <v>0.55204109847757654</v>
      </c>
      <c r="L21">
        <v>0.53927176412273703</v>
      </c>
      <c r="M21">
        <v>0.58920259963274668</v>
      </c>
      <c r="O21">
        <v>0</v>
      </c>
    </row>
    <row r="22" spans="1:15" x14ac:dyDescent="0.25">
      <c r="A22">
        <v>21</v>
      </c>
      <c r="B22">
        <v>151349192</v>
      </c>
      <c r="C22" t="s">
        <v>37</v>
      </c>
      <c r="D22" t="s">
        <v>33</v>
      </c>
      <c r="E22">
        <v>40.972717007320632</v>
      </c>
      <c r="F22">
        <v>29.274034416551959</v>
      </c>
      <c r="G22">
        <v>19.8</v>
      </c>
      <c r="H22">
        <v>0</v>
      </c>
      <c r="I22">
        <v>704.37861161361093</v>
      </c>
      <c r="J22">
        <v>28600</v>
      </c>
      <c r="K22">
        <v>0.45065392722746977</v>
      </c>
      <c r="L22">
        <v>0.48834605702563672</v>
      </c>
      <c r="M22">
        <v>0.34438828732012949</v>
      </c>
      <c r="O22">
        <v>0</v>
      </c>
    </row>
    <row r="23" spans="1:15" x14ac:dyDescent="0.25">
      <c r="A23">
        <v>22</v>
      </c>
      <c r="B23">
        <v>151349196</v>
      </c>
      <c r="C23" t="s">
        <v>38</v>
      </c>
      <c r="D23" t="s">
        <v>33</v>
      </c>
      <c r="E23">
        <v>40.97418679983452</v>
      </c>
      <c r="F23">
        <v>29.275177709135288</v>
      </c>
      <c r="G23">
        <v>19.8</v>
      </c>
      <c r="H23">
        <v>0.66666666666666663</v>
      </c>
      <c r="I23">
        <v>883.13745288998973</v>
      </c>
      <c r="J23">
        <v>28600</v>
      </c>
      <c r="K23">
        <v>0.54523259351756648</v>
      </c>
      <c r="L23">
        <v>0.53580798653624206</v>
      </c>
      <c r="M23">
        <v>0.58280090228852022</v>
      </c>
      <c r="O23">
        <v>0</v>
      </c>
    </row>
    <row r="24" spans="1:15" x14ac:dyDescent="0.25">
      <c r="A24">
        <v>23</v>
      </c>
      <c r="B24">
        <v>151349193</v>
      </c>
      <c r="C24" t="s">
        <v>39</v>
      </c>
      <c r="D24" t="s">
        <v>33</v>
      </c>
      <c r="E24">
        <v>40.974064014419547</v>
      </c>
      <c r="F24">
        <v>29.273601873320381</v>
      </c>
      <c r="G24">
        <v>19.8</v>
      </c>
      <c r="H24">
        <v>0</v>
      </c>
      <c r="I24">
        <v>780.13557687358696</v>
      </c>
      <c r="J24">
        <v>28600</v>
      </c>
      <c r="K24">
        <v>0.45334667432476111</v>
      </c>
      <c r="L24">
        <v>0.48980079990239928</v>
      </c>
      <c r="M24">
        <v>0.34684231668196641</v>
      </c>
      <c r="O24">
        <v>0</v>
      </c>
    </row>
    <row r="25" spans="1:15" x14ac:dyDescent="0.25">
      <c r="A25">
        <v>24</v>
      </c>
      <c r="B25">
        <v>151349197</v>
      </c>
      <c r="C25" t="s">
        <v>40</v>
      </c>
      <c r="D25" t="s">
        <v>33</v>
      </c>
      <c r="E25">
        <v>40.971798364219197</v>
      </c>
      <c r="F25">
        <v>29.265427485702759</v>
      </c>
      <c r="G25">
        <v>19.8</v>
      </c>
      <c r="H25">
        <v>1</v>
      </c>
      <c r="I25">
        <v>368.38207102255728</v>
      </c>
      <c r="J25">
        <v>28600</v>
      </c>
      <c r="K25">
        <v>0.5626016442235755</v>
      </c>
      <c r="L25">
        <v>0.54448656349679292</v>
      </c>
      <c r="M25">
        <v>0.6558060210414014</v>
      </c>
      <c r="O25">
        <v>0</v>
      </c>
    </row>
    <row r="26" spans="1:15" x14ac:dyDescent="0.25">
      <c r="A26">
        <v>25</v>
      </c>
      <c r="B26">
        <v>151349198</v>
      </c>
      <c r="C26" t="s">
        <v>41</v>
      </c>
      <c r="D26" t="s">
        <v>33</v>
      </c>
      <c r="E26">
        <v>40.971635673995927</v>
      </c>
      <c r="F26">
        <v>29.26604512019534</v>
      </c>
      <c r="G26">
        <v>19.8</v>
      </c>
      <c r="H26">
        <v>1</v>
      </c>
      <c r="I26">
        <v>331.11672625170007</v>
      </c>
      <c r="J26">
        <v>28600</v>
      </c>
      <c r="K26">
        <v>0.56104629477844248</v>
      </c>
      <c r="L26">
        <v>0.54368285328174748</v>
      </c>
      <c r="M26">
        <v>0.6540754582520254</v>
      </c>
      <c r="O26">
        <v>0</v>
      </c>
    </row>
    <row r="27" spans="1:15" x14ac:dyDescent="0.25">
      <c r="A27">
        <v>26</v>
      </c>
      <c r="B27">
        <v>151349309</v>
      </c>
      <c r="C27" t="s">
        <v>42</v>
      </c>
      <c r="D27" t="s">
        <v>43</v>
      </c>
      <c r="E27">
        <v>40.94732537694204</v>
      </c>
      <c r="F27">
        <v>29.302287863173131</v>
      </c>
      <c r="G27">
        <v>8.9</v>
      </c>
      <c r="H27">
        <v>0.66666666666666663</v>
      </c>
      <c r="I27">
        <v>0</v>
      </c>
      <c r="J27">
        <v>16400</v>
      </c>
      <c r="K27">
        <v>0.27264246034774298</v>
      </c>
      <c r="L27">
        <v>0.22943849358942561</v>
      </c>
      <c r="M27">
        <v>0.39797525979840398</v>
      </c>
      <c r="O27">
        <v>0</v>
      </c>
    </row>
    <row r="28" spans="1:15" x14ac:dyDescent="0.25">
      <c r="A28">
        <v>27</v>
      </c>
      <c r="B28">
        <v>151349306</v>
      </c>
      <c r="C28" t="s">
        <v>44</v>
      </c>
      <c r="D28" t="s">
        <v>43</v>
      </c>
      <c r="E28">
        <v>40.946344915126502</v>
      </c>
      <c r="F28">
        <v>29.304691294038431</v>
      </c>
      <c r="G28">
        <v>8.9</v>
      </c>
      <c r="H28">
        <v>0.66666666666666663</v>
      </c>
      <c r="I28">
        <v>229.4180073293889</v>
      </c>
      <c r="J28">
        <v>16400</v>
      </c>
      <c r="K28">
        <v>0.27687768960739412</v>
      </c>
      <c r="L28">
        <v>0.23160987266767669</v>
      </c>
      <c r="M28">
        <v>0.4029233383300328</v>
      </c>
      <c r="O28">
        <v>0</v>
      </c>
    </row>
    <row r="29" spans="1:15" x14ac:dyDescent="0.25">
      <c r="A29">
        <v>28</v>
      </c>
      <c r="B29">
        <v>151349310</v>
      </c>
      <c r="C29" t="s">
        <v>45</v>
      </c>
      <c r="D29" t="s">
        <v>43</v>
      </c>
      <c r="E29">
        <v>40.940993039176789</v>
      </c>
      <c r="F29">
        <v>29.29711942047134</v>
      </c>
      <c r="G29">
        <v>8.9</v>
      </c>
      <c r="H29">
        <v>0.66666666666666663</v>
      </c>
      <c r="I29">
        <v>521.85457080735762</v>
      </c>
      <c r="J29">
        <v>16400</v>
      </c>
      <c r="K29">
        <v>0.28577437712323939</v>
      </c>
      <c r="L29">
        <v>0.23687842024905331</v>
      </c>
      <c r="M29">
        <v>0.41049366611424187</v>
      </c>
      <c r="O29">
        <v>0</v>
      </c>
    </row>
    <row r="30" spans="1:15" x14ac:dyDescent="0.25">
      <c r="A30">
        <v>29</v>
      </c>
      <c r="B30">
        <v>151349311</v>
      </c>
      <c r="C30" t="s">
        <v>46</v>
      </c>
      <c r="D30" t="s">
        <v>43</v>
      </c>
      <c r="E30">
        <v>40.941998455834529</v>
      </c>
      <c r="F30">
        <v>29.300353883980989</v>
      </c>
      <c r="G30">
        <v>8.9</v>
      </c>
      <c r="H30">
        <v>0.66666666666666663</v>
      </c>
      <c r="I30">
        <v>614.1954813320059</v>
      </c>
      <c r="J30">
        <v>16400</v>
      </c>
      <c r="K30">
        <v>0.28932201399333468</v>
      </c>
      <c r="L30">
        <v>0.23908777542177501</v>
      </c>
      <c r="M30">
        <v>0.4131455297320652</v>
      </c>
      <c r="O30">
        <v>0</v>
      </c>
    </row>
    <row r="31" spans="1:15" x14ac:dyDescent="0.25">
      <c r="A31">
        <v>30</v>
      </c>
      <c r="B31">
        <v>151349307</v>
      </c>
      <c r="C31" t="s">
        <v>47</v>
      </c>
      <c r="D31" t="s">
        <v>43</v>
      </c>
      <c r="E31">
        <v>40.948746105802471</v>
      </c>
      <c r="F31">
        <v>29.298725708734679</v>
      </c>
      <c r="G31">
        <v>8.9</v>
      </c>
      <c r="H31">
        <v>0.66666666666666663</v>
      </c>
      <c r="I31">
        <v>338.31990150276471</v>
      </c>
      <c r="J31">
        <v>16400</v>
      </c>
      <c r="K31">
        <v>0.27975167511300097</v>
      </c>
      <c r="L31">
        <v>0.23325334513099011</v>
      </c>
      <c r="M31">
        <v>0.40558606905646888</v>
      </c>
      <c r="O31">
        <v>0</v>
      </c>
    </row>
    <row r="32" spans="1:15" x14ac:dyDescent="0.25">
      <c r="A32">
        <v>31</v>
      </c>
      <c r="B32">
        <v>151349308</v>
      </c>
      <c r="C32" t="s">
        <v>48</v>
      </c>
      <c r="D32" t="s">
        <v>43</v>
      </c>
      <c r="E32">
        <v>40.948501097967281</v>
      </c>
      <c r="F32">
        <v>29.301902110386841</v>
      </c>
      <c r="G32">
        <v>8.9</v>
      </c>
      <c r="H32">
        <v>0</v>
      </c>
      <c r="I32">
        <v>134.68874527018781</v>
      </c>
      <c r="J32">
        <v>16400</v>
      </c>
      <c r="K32">
        <v>0.15517108749995351</v>
      </c>
      <c r="L32">
        <v>0.1664787569498416</v>
      </c>
      <c r="M32">
        <v>0.1232221484280011</v>
      </c>
      <c r="O32">
        <v>0</v>
      </c>
    </row>
    <row r="33" spans="1:15" x14ac:dyDescent="0.25">
      <c r="A33">
        <v>32</v>
      </c>
      <c r="B33">
        <v>151349231</v>
      </c>
      <c r="C33" t="s">
        <v>49</v>
      </c>
      <c r="D33" t="s">
        <v>50</v>
      </c>
      <c r="E33">
        <v>40.988155798357042</v>
      </c>
      <c r="F33">
        <v>29.28416930058134</v>
      </c>
      <c r="G33">
        <v>18.399999999999999</v>
      </c>
      <c r="H33">
        <v>0.66666666666666663</v>
      </c>
      <c r="I33">
        <v>213.17658615758879</v>
      </c>
      <c r="J33">
        <v>26900</v>
      </c>
      <c r="K33">
        <v>0.48369767068904151</v>
      </c>
      <c r="L33">
        <v>0.48218256978828639</v>
      </c>
      <c r="M33">
        <v>0.53319119190768838</v>
      </c>
      <c r="O33">
        <v>0</v>
      </c>
    </row>
    <row r="34" spans="1:15" x14ac:dyDescent="0.25">
      <c r="A34">
        <v>33</v>
      </c>
      <c r="B34">
        <v>151349240</v>
      </c>
      <c r="C34" t="s">
        <v>51</v>
      </c>
      <c r="D34" t="s">
        <v>50</v>
      </c>
      <c r="E34">
        <v>40.990500833240958</v>
      </c>
      <c r="F34">
        <v>29.282244769041011</v>
      </c>
      <c r="G34">
        <v>18.399999999999999</v>
      </c>
      <c r="H34">
        <v>0</v>
      </c>
      <c r="I34">
        <v>487.51540575750329</v>
      </c>
      <c r="J34">
        <v>26900</v>
      </c>
      <c r="K34">
        <v>0.41030320366891682</v>
      </c>
      <c r="L34">
        <v>0.44597687275367182</v>
      </c>
      <c r="M34">
        <v>0.31467014945771149</v>
      </c>
      <c r="O34">
        <v>0</v>
      </c>
    </row>
    <row r="35" spans="1:15" x14ac:dyDescent="0.25">
      <c r="A35">
        <v>34</v>
      </c>
      <c r="B35">
        <v>151349239</v>
      </c>
      <c r="C35" t="s">
        <v>52</v>
      </c>
      <c r="D35" t="s">
        <v>50</v>
      </c>
      <c r="E35">
        <v>40.988164099174973</v>
      </c>
      <c r="F35">
        <v>29.279375740475409</v>
      </c>
      <c r="G35">
        <v>18.399999999999999</v>
      </c>
      <c r="H35">
        <v>1</v>
      </c>
      <c r="I35">
        <v>521.74771434734089</v>
      </c>
      <c r="J35">
        <v>26900</v>
      </c>
      <c r="K35">
        <v>0.53709119176619236</v>
      </c>
      <c r="L35">
        <v>0.50973332447644071</v>
      </c>
      <c r="M35">
        <v>0.64140875783276274</v>
      </c>
      <c r="O35">
        <v>0</v>
      </c>
    </row>
    <row r="36" spans="1:15" x14ac:dyDescent="0.25">
      <c r="A36">
        <v>35</v>
      </c>
      <c r="B36">
        <v>151349242</v>
      </c>
      <c r="C36" t="s">
        <v>53</v>
      </c>
      <c r="D36" t="s">
        <v>50</v>
      </c>
      <c r="E36">
        <v>40.982588405010048</v>
      </c>
      <c r="F36">
        <v>29.268399813146431</v>
      </c>
      <c r="G36">
        <v>18.399999999999999</v>
      </c>
      <c r="H36">
        <v>1</v>
      </c>
      <c r="I36">
        <v>975.89619859025981</v>
      </c>
      <c r="J36">
        <v>26900</v>
      </c>
      <c r="K36">
        <v>0.55398930793701728</v>
      </c>
      <c r="L36">
        <v>0.51857725505150642</v>
      </c>
      <c r="M36">
        <v>0.65825564541626003</v>
      </c>
      <c r="O36">
        <v>0</v>
      </c>
    </row>
    <row r="37" spans="1:15" x14ac:dyDescent="0.25">
      <c r="A37">
        <v>36</v>
      </c>
      <c r="B37">
        <v>151349243</v>
      </c>
      <c r="C37" t="s">
        <v>54</v>
      </c>
      <c r="D37" t="s">
        <v>50</v>
      </c>
      <c r="E37">
        <v>40.983957373662342</v>
      </c>
      <c r="F37">
        <v>29.268983317901458</v>
      </c>
      <c r="G37">
        <v>18.399999999999999</v>
      </c>
      <c r="H37">
        <v>1</v>
      </c>
      <c r="I37">
        <v>827.22599426545059</v>
      </c>
      <c r="J37">
        <v>26900</v>
      </c>
      <c r="K37">
        <v>0.54857477332785709</v>
      </c>
      <c r="L37">
        <v>0.51570182081709126</v>
      </c>
      <c r="M37">
        <v>0.65311939261021423</v>
      </c>
      <c r="O37">
        <v>0</v>
      </c>
    </row>
    <row r="38" spans="1:15" x14ac:dyDescent="0.25">
      <c r="A38">
        <v>37</v>
      </c>
      <c r="B38">
        <v>151349227</v>
      </c>
      <c r="C38" t="s">
        <v>55</v>
      </c>
      <c r="D38" t="s">
        <v>50</v>
      </c>
      <c r="E38">
        <v>40.986837247501789</v>
      </c>
      <c r="F38">
        <v>29.264704252973331</v>
      </c>
      <c r="G38">
        <v>18.399999999999999</v>
      </c>
      <c r="H38">
        <v>0.33333333333333331</v>
      </c>
      <c r="I38">
        <v>573.91999812068627</v>
      </c>
      <c r="J38">
        <v>26900</v>
      </c>
      <c r="K38">
        <v>0.45099863761261799</v>
      </c>
      <c r="L38">
        <v>0.46703128516243642</v>
      </c>
      <c r="M38">
        <v>0.41165588166422112</v>
      </c>
      <c r="O38">
        <v>0</v>
      </c>
    </row>
    <row r="39" spans="1:15" x14ac:dyDescent="0.25">
      <c r="A39">
        <v>38</v>
      </c>
      <c r="B39">
        <v>151349232</v>
      </c>
      <c r="C39" t="s">
        <v>56</v>
      </c>
      <c r="D39" t="s">
        <v>50</v>
      </c>
      <c r="E39">
        <v>40.977924453001982</v>
      </c>
      <c r="F39">
        <v>29.27908383914329</v>
      </c>
      <c r="G39">
        <v>18.399999999999999</v>
      </c>
      <c r="H39">
        <v>0.66666666666666663</v>
      </c>
      <c r="I39">
        <v>780.12000209868575</v>
      </c>
      <c r="J39">
        <v>26900</v>
      </c>
      <c r="K39">
        <v>0.50576608271093959</v>
      </c>
      <c r="L39">
        <v>0.49345935730435653</v>
      </c>
      <c r="M39">
        <v>0.55528639906604782</v>
      </c>
      <c r="O39">
        <v>0</v>
      </c>
    </row>
    <row r="40" spans="1:15" x14ac:dyDescent="0.25">
      <c r="A40">
        <v>39</v>
      </c>
      <c r="B40">
        <v>151349226</v>
      </c>
      <c r="C40" t="s">
        <v>57</v>
      </c>
      <c r="D40" t="s">
        <v>50</v>
      </c>
      <c r="E40">
        <v>40.979507805241902</v>
      </c>
      <c r="F40">
        <v>29.278957941824999</v>
      </c>
      <c r="G40">
        <v>18.399999999999999</v>
      </c>
      <c r="H40">
        <v>0.66666666666666663</v>
      </c>
      <c r="I40">
        <v>629.59491301043295</v>
      </c>
      <c r="J40">
        <v>26900</v>
      </c>
      <c r="K40">
        <v>0.49974510587666732</v>
      </c>
      <c r="L40">
        <v>0.49039713143975128</v>
      </c>
      <c r="M40">
        <v>0.54947944220967038</v>
      </c>
      <c r="O40">
        <v>0</v>
      </c>
    </row>
    <row r="41" spans="1:15" x14ac:dyDescent="0.25">
      <c r="A41">
        <v>40</v>
      </c>
      <c r="B41">
        <v>151349233</v>
      </c>
      <c r="C41" t="s">
        <v>58</v>
      </c>
      <c r="D41" t="s">
        <v>50</v>
      </c>
      <c r="E41">
        <v>40.987486048940418</v>
      </c>
      <c r="F41">
        <v>29.283931909438412</v>
      </c>
      <c r="G41">
        <v>18.399999999999999</v>
      </c>
      <c r="H41">
        <v>0.66666666666666663</v>
      </c>
      <c r="I41">
        <v>224.30630634387211</v>
      </c>
      <c r="J41">
        <v>26900</v>
      </c>
      <c r="K41">
        <v>0.48410727193307779</v>
      </c>
      <c r="L41">
        <v>0.48239507020760258</v>
      </c>
      <c r="M41">
        <v>0.53362316431334933</v>
      </c>
      <c r="O41">
        <v>0</v>
      </c>
    </row>
    <row r="42" spans="1:15" x14ac:dyDescent="0.25">
      <c r="A42">
        <v>41</v>
      </c>
      <c r="B42">
        <v>151349241</v>
      </c>
      <c r="C42" t="s">
        <v>59</v>
      </c>
      <c r="D42" t="s">
        <v>50</v>
      </c>
      <c r="E42">
        <v>40.984242917068613</v>
      </c>
      <c r="F42">
        <v>29.265733062968661</v>
      </c>
      <c r="G42">
        <v>18.399999999999999</v>
      </c>
      <c r="H42">
        <v>0</v>
      </c>
      <c r="I42">
        <v>813.89333318308036</v>
      </c>
      <c r="J42">
        <v>26900</v>
      </c>
      <c r="K42">
        <v>0.42186015864397702</v>
      </c>
      <c r="L42">
        <v>0.45214230821798762</v>
      </c>
      <c r="M42">
        <v>0.32533706038568422</v>
      </c>
      <c r="O42">
        <v>0</v>
      </c>
    </row>
    <row r="43" spans="1:15" x14ac:dyDescent="0.25">
      <c r="A43">
        <v>42</v>
      </c>
      <c r="B43">
        <v>151349244</v>
      </c>
      <c r="C43" t="s">
        <v>60</v>
      </c>
      <c r="D43" t="s">
        <v>50</v>
      </c>
      <c r="E43">
        <v>40.983109015870937</v>
      </c>
      <c r="F43">
        <v>29.270050140686561</v>
      </c>
      <c r="G43">
        <v>18.399999999999999</v>
      </c>
      <c r="H43">
        <v>1</v>
      </c>
      <c r="I43">
        <v>933.43239762071528</v>
      </c>
      <c r="J43">
        <v>26900</v>
      </c>
      <c r="K43">
        <v>0.55246000064306533</v>
      </c>
      <c r="L43">
        <v>0.51775948904613667</v>
      </c>
      <c r="M43">
        <v>0.65683239860897902</v>
      </c>
      <c r="O43">
        <v>0</v>
      </c>
    </row>
    <row r="44" spans="1:15" x14ac:dyDescent="0.25">
      <c r="A44">
        <v>43</v>
      </c>
      <c r="B44">
        <v>151349228</v>
      </c>
      <c r="C44" t="s">
        <v>61</v>
      </c>
      <c r="D44" t="s">
        <v>50</v>
      </c>
      <c r="E44">
        <v>40.983359365602851</v>
      </c>
      <c r="F44">
        <v>29.270669443444259</v>
      </c>
      <c r="G44">
        <v>18.399999999999999</v>
      </c>
      <c r="H44">
        <v>0.33333333333333331</v>
      </c>
      <c r="I44">
        <v>917.38080971524494</v>
      </c>
      <c r="J44">
        <v>26900</v>
      </c>
      <c r="K44">
        <v>0.4646669068249149</v>
      </c>
      <c r="L44">
        <v>0.47400997898796349</v>
      </c>
      <c r="M44">
        <v>0.42443735935951349</v>
      </c>
      <c r="O44">
        <v>0</v>
      </c>
    </row>
    <row r="45" spans="1:15" x14ac:dyDescent="0.25">
      <c r="A45">
        <v>44</v>
      </c>
      <c r="B45">
        <v>151349234</v>
      </c>
      <c r="C45" t="s">
        <v>62</v>
      </c>
      <c r="D45" t="s">
        <v>50</v>
      </c>
      <c r="E45">
        <v>40.986348709323167</v>
      </c>
      <c r="F45">
        <v>29.266181435512841</v>
      </c>
      <c r="G45">
        <v>18.399999999999999</v>
      </c>
      <c r="H45">
        <v>1</v>
      </c>
      <c r="I45">
        <v>577.71411366570157</v>
      </c>
      <c r="J45">
        <v>26900</v>
      </c>
      <c r="K45">
        <v>0.53921434364220311</v>
      </c>
      <c r="L45">
        <v>0.51082815802891446</v>
      </c>
      <c r="M45">
        <v>0.64365174084731924</v>
      </c>
      <c r="O45">
        <v>0</v>
      </c>
    </row>
    <row r="46" spans="1:15" x14ac:dyDescent="0.25">
      <c r="A46">
        <v>45</v>
      </c>
      <c r="B46">
        <v>151349229</v>
      </c>
      <c r="C46" t="s">
        <v>63</v>
      </c>
      <c r="D46" t="s">
        <v>50</v>
      </c>
      <c r="E46">
        <v>40.983870459554581</v>
      </c>
      <c r="F46">
        <v>29.279048711986171</v>
      </c>
      <c r="G46">
        <v>18.399999999999999</v>
      </c>
      <c r="H46">
        <v>0</v>
      </c>
      <c r="I46">
        <v>329.15376099132482</v>
      </c>
      <c r="J46">
        <v>26900</v>
      </c>
      <c r="K46">
        <v>0.40532302831016359</v>
      </c>
      <c r="L46">
        <v>0.44319391824904608</v>
      </c>
      <c r="M46">
        <v>0.31056345029938748</v>
      </c>
      <c r="O46">
        <v>0</v>
      </c>
    </row>
    <row r="47" spans="1:15" x14ac:dyDescent="0.25">
      <c r="A47">
        <v>46</v>
      </c>
      <c r="B47">
        <v>151349235</v>
      </c>
      <c r="C47" t="s">
        <v>64</v>
      </c>
      <c r="D47" t="s">
        <v>50</v>
      </c>
      <c r="E47">
        <v>40.989052802642767</v>
      </c>
      <c r="F47">
        <v>29.282452138742169</v>
      </c>
      <c r="G47">
        <v>18.399999999999999</v>
      </c>
      <c r="H47">
        <v>0.33333333333333331</v>
      </c>
      <c r="I47">
        <v>383.80298614249648</v>
      </c>
      <c r="J47">
        <v>26900</v>
      </c>
      <c r="K47">
        <v>0.44396437808189571</v>
      </c>
      <c r="L47">
        <v>0.46335242744652322</v>
      </c>
      <c r="M47">
        <v>0.40536158392150579</v>
      </c>
      <c r="O47">
        <v>0</v>
      </c>
    </row>
    <row r="48" spans="1:15" x14ac:dyDescent="0.25">
      <c r="A48">
        <v>47</v>
      </c>
      <c r="B48">
        <v>151349236</v>
      </c>
      <c r="C48" t="s">
        <v>65</v>
      </c>
      <c r="D48" t="s">
        <v>50</v>
      </c>
      <c r="E48">
        <v>40.982802334000752</v>
      </c>
      <c r="F48">
        <v>29.26917774728668</v>
      </c>
      <c r="G48">
        <v>18.399999999999999</v>
      </c>
      <c r="H48">
        <v>1</v>
      </c>
      <c r="I48">
        <v>956.65424173608733</v>
      </c>
      <c r="J48">
        <v>26900</v>
      </c>
      <c r="K48">
        <v>0.55329819651975787</v>
      </c>
      <c r="L48">
        <v>0.51820709218093708</v>
      </c>
      <c r="M48">
        <v>0.65761524093509038</v>
      </c>
      <c r="O48">
        <v>0</v>
      </c>
    </row>
    <row r="49" spans="1:15" x14ac:dyDescent="0.25">
      <c r="A49">
        <v>48</v>
      </c>
      <c r="B49">
        <v>151349230</v>
      </c>
      <c r="C49" t="s">
        <v>66</v>
      </c>
      <c r="D49" t="s">
        <v>50</v>
      </c>
      <c r="E49">
        <v>40.981814131935437</v>
      </c>
      <c r="F49">
        <v>29.268818293757509</v>
      </c>
      <c r="G49">
        <v>18.399999999999999</v>
      </c>
      <c r="H49">
        <v>0.33333333333333331</v>
      </c>
      <c r="I49">
        <v>1063.6350155510991</v>
      </c>
      <c r="J49">
        <v>26900</v>
      </c>
      <c r="K49">
        <v>0.47069458754217891</v>
      </c>
      <c r="L49">
        <v>0.47706664223879081</v>
      </c>
      <c r="M49">
        <v>0.43027532308761163</v>
      </c>
      <c r="O49">
        <v>0</v>
      </c>
    </row>
    <row r="50" spans="1:15" x14ac:dyDescent="0.25">
      <c r="A50">
        <v>49</v>
      </c>
      <c r="B50">
        <v>151349237</v>
      </c>
      <c r="C50" t="s">
        <v>67</v>
      </c>
      <c r="D50" t="s">
        <v>50</v>
      </c>
      <c r="E50">
        <v>40.982009420084751</v>
      </c>
      <c r="F50">
        <v>29.26868471951212</v>
      </c>
      <c r="G50">
        <v>18.399999999999999</v>
      </c>
      <c r="H50">
        <v>0.66666666666666663</v>
      </c>
      <c r="I50">
        <v>1041.287026554613</v>
      </c>
      <c r="J50">
        <v>26900</v>
      </c>
      <c r="K50">
        <v>0.51619349186228469</v>
      </c>
      <c r="L50">
        <v>0.49880863842566409</v>
      </c>
      <c r="M50">
        <v>0.56497802994008928</v>
      </c>
      <c r="O50">
        <v>0</v>
      </c>
    </row>
    <row r="51" spans="1:15" x14ac:dyDescent="0.25">
      <c r="A51">
        <v>50</v>
      </c>
      <c r="B51">
        <v>151349312</v>
      </c>
      <c r="C51" t="s">
        <v>68</v>
      </c>
      <c r="D51" t="s">
        <v>50</v>
      </c>
      <c r="E51">
        <v>40.986887134790223</v>
      </c>
      <c r="F51">
        <v>29.287472037996832</v>
      </c>
      <c r="G51">
        <v>18.399999999999999</v>
      </c>
      <c r="H51">
        <v>1</v>
      </c>
      <c r="I51">
        <v>107.8927018871471</v>
      </c>
      <c r="J51">
        <v>26900</v>
      </c>
      <c r="K51">
        <v>0.52153046167355166</v>
      </c>
      <c r="L51">
        <v>0.50173434038424569</v>
      </c>
      <c r="M51">
        <v>0.6239443207116242</v>
      </c>
      <c r="O51">
        <v>0</v>
      </c>
    </row>
    <row r="52" spans="1:15" x14ac:dyDescent="0.25">
      <c r="A52">
        <v>51</v>
      </c>
      <c r="B52">
        <v>151349238</v>
      </c>
      <c r="C52" t="s">
        <v>69</v>
      </c>
      <c r="D52" t="s">
        <v>50</v>
      </c>
      <c r="E52">
        <v>40.984312567852349</v>
      </c>
      <c r="F52">
        <v>29.282926022455442</v>
      </c>
      <c r="G52">
        <v>18.399999999999999</v>
      </c>
      <c r="H52">
        <v>0.66666666666666663</v>
      </c>
      <c r="I52">
        <v>0</v>
      </c>
      <c r="J52">
        <v>26900</v>
      </c>
      <c r="K52">
        <v>0.47613573940247911</v>
      </c>
      <c r="L52">
        <v>0.47821051752896288</v>
      </c>
      <c r="M52">
        <v>0.52503653578993303</v>
      </c>
      <c r="O52">
        <v>0</v>
      </c>
    </row>
    <row r="53" spans="1:15" x14ac:dyDescent="0.25">
      <c r="A53">
        <v>52</v>
      </c>
      <c r="B53">
        <v>151349222</v>
      </c>
      <c r="C53" t="s">
        <v>70</v>
      </c>
      <c r="D53" t="s">
        <v>71</v>
      </c>
      <c r="E53">
        <v>40.950562052402297</v>
      </c>
      <c r="F53">
        <v>29.27340411193601</v>
      </c>
      <c r="G53">
        <v>17</v>
      </c>
      <c r="H53">
        <v>1</v>
      </c>
      <c r="I53">
        <v>313.25607320402179</v>
      </c>
      <c r="J53">
        <v>19300</v>
      </c>
      <c r="K53">
        <v>0.49745103448009248</v>
      </c>
      <c r="L53">
        <v>0.4679396945834508</v>
      </c>
      <c r="M53">
        <v>0.61132589943033788</v>
      </c>
      <c r="O53">
        <v>0</v>
      </c>
    </row>
    <row r="54" spans="1:15" x14ac:dyDescent="0.25">
      <c r="A54">
        <v>53</v>
      </c>
      <c r="B54">
        <v>151349223</v>
      </c>
      <c r="C54" t="s">
        <v>72</v>
      </c>
      <c r="D54" t="s">
        <v>71</v>
      </c>
      <c r="E54">
        <v>40.950522843990491</v>
      </c>
      <c r="F54">
        <v>29.272769484314161</v>
      </c>
      <c r="G54">
        <v>17</v>
      </c>
      <c r="H54">
        <v>0.66666666666666663</v>
      </c>
      <c r="I54">
        <v>364.72304249899321</v>
      </c>
      <c r="J54">
        <v>19300</v>
      </c>
      <c r="K54">
        <v>0.45399102246827511</v>
      </c>
      <c r="L54">
        <v>0.44489343409974857</v>
      </c>
      <c r="M54">
        <v>0.51550992143758656</v>
      </c>
      <c r="O54">
        <v>0</v>
      </c>
    </row>
    <row r="55" spans="1:15" x14ac:dyDescent="0.25">
      <c r="A55">
        <v>54</v>
      </c>
      <c r="B55">
        <v>151349221</v>
      </c>
      <c r="C55" t="s">
        <v>73</v>
      </c>
      <c r="D55" t="s">
        <v>71</v>
      </c>
      <c r="E55">
        <v>40.955957922735173</v>
      </c>
      <c r="F55">
        <v>29.279035249437101</v>
      </c>
      <c r="G55">
        <v>17</v>
      </c>
      <c r="H55">
        <v>0.66666666666666663</v>
      </c>
      <c r="I55">
        <v>687.59742441429478</v>
      </c>
      <c r="J55">
        <v>19300</v>
      </c>
      <c r="K55">
        <v>0.46601592133503061</v>
      </c>
      <c r="L55">
        <v>0.45104317092109752</v>
      </c>
      <c r="M55">
        <v>0.52734447104548499</v>
      </c>
      <c r="O55">
        <v>0</v>
      </c>
    </row>
    <row r="56" spans="1:15" x14ac:dyDescent="0.25">
      <c r="A56">
        <v>55</v>
      </c>
      <c r="B56">
        <v>151349224</v>
      </c>
      <c r="C56" t="s">
        <v>74</v>
      </c>
      <c r="D56" t="s">
        <v>71</v>
      </c>
      <c r="E56">
        <v>40.953061847487078</v>
      </c>
      <c r="F56">
        <v>29.274561222329741</v>
      </c>
      <c r="G56">
        <v>17</v>
      </c>
      <c r="H56">
        <v>0.66666666666666663</v>
      </c>
      <c r="I56">
        <v>403.27501147420969</v>
      </c>
      <c r="J56">
        <v>19300</v>
      </c>
      <c r="K56">
        <v>0.45536511939421243</v>
      </c>
      <c r="L56">
        <v>0.44559547522283088</v>
      </c>
      <c r="M56">
        <v>0.51691255092855981</v>
      </c>
      <c r="O56">
        <v>0</v>
      </c>
    </row>
    <row r="57" spans="1:15" x14ac:dyDescent="0.25">
      <c r="A57">
        <v>56</v>
      </c>
      <c r="B57">
        <v>151349328</v>
      </c>
      <c r="C57" t="s">
        <v>75</v>
      </c>
      <c r="D57" t="s">
        <v>71</v>
      </c>
      <c r="E57">
        <v>40.956599325943451</v>
      </c>
      <c r="F57">
        <v>29.28047733713997</v>
      </c>
      <c r="G57">
        <v>17</v>
      </c>
      <c r="H57">
        <v>0</v>
      </c>
      <c r="I57">
        <v>792.53888883865932</v>
      </c>
      <c r="J57">
        <v>19300</v>
      </c>
      <c r="K57">
        <v>0.38634553890908052</v>
      </c>
      <c r="L57">
        <v>0.41216774556853231</v>
      </c>
      <c r="M57">
        <v>0.30008305308855471</v>
      </c>
      <c r="O57">
        <v>0</v>
      </c>
    </row>
    <row r="58" spans="1:15" x14ac:dyDescent="0.25">
      <c r="A58">
        <v>57</v>
      </c>
      <c r="B58">
        <v>151349225</v>
      </c>
      <c r="C58" t="s">
        <v>76</v>
      </c>
      <c r="D58" t="s">
        <v>71</v>
      </c>
      <c r="E58">
        <v>40.959528295150228</v>
      </c>
      <c r="F58">
        <v>29.279556262003229</v>
      </c>
      <c r="G58">
        <v>17</v>
      </c>
      <c r="H58">
        <v>0.66666666666666663</v>
      </c>
      <c r="I58">
        <v>772.83527446520429</v>
      </c>
      <c r="J58">
        <v>19300</v>
      </c>
      <c r="K58">
        <v>0.46934710678756431</v>
      </c>
      <c r="L58">
        <v>0.45275816479158609</v>
      </c>
      <c r="M58">
        <v>0.53046596363656429</v>
      </c>
      <c r="O58">
        <v>0</v>
      </c>
    </row>
    <row r="59" spans="1:15" x14ac:dyDescent="0.25">
      <c r="A59">
        <v>58</v>
      </c>
      <c r="B59">
        <v>151349321</v>
      </c>
      <c r="C59" t="s">
        <v>77</v>
      </c>
      <c r="D59" t="s">
        <v>71</v>
      </c>
      <c r="E59">
        <v>40.95535392537073</v>
      </c>
      <c r="F59">
        <v>29.279870655000611</v>
      </c>
      <c r="G59">
        <v>17</v>
      </c>
      <c r="H59">
        <v>1</v>
      </c>
      <c r="I59">
        <v>645.01667870134793</v>
      </c>
      <c r="J59">
        <v>19300</v>
      </c>
      <c r="K59">
        <v>0.50902117513626544</v>
      </c>
      <c r="L59">
        <v>0.47395538454566821</v>
      </c>
      <c r="M59">
        <v>0.62355554083440401</v>
      </c>
      <c r="O59">
        <v>0</v>
      </c>
    </row>
    <row r="60" spans="1:15" x14ac:dyDescent="0.25">
      <c r="A60">
        <v>59</v>
      </c>
      <c r="B60">
        <v>151349217</v>
      </c>
      <c r="C60" t="s">
        <v>78</v>
      </c>
      <c r="D60" t="s">
        <v>79</v>
      </c>
      <c r="E60">
        <v>40.948594675993299</v>
      </c>
      <c r="F60">
        <v>29.290376637586281</v>
      </c>
      <c r="G60">
        <v>32.700000000000003</v>
      </c>
      <c r="H60">
        <v>0.33333333333333331</v>
      </c>
      <c r="I60">
        <v>876.87844671578989</v>
      </c>
      <c r="J60">
        <v>22700</v>
      </c>
      <c r="K60">
        <v>0.74407931864941024</v>
      </c>
      <c r="L60">
        <v>0.81238555498006504</v>
      </c>
      <c r="M60">
        <v>0.61188351433342458</v>
      </c>
      <c r="O60">
        <v>0</v>
      </c>
    </row>
    <row r="61" spans="1:15" x14ac:dyDescent="0.25">
      <c r="A61">
        <v>60</v>
      </c>
      <c r="B61">
        <v>151349218</v>
      </c>
      <c r="C61" t="s">
        <v>80</v>
      </c>
      <c r="D61" t="s">
        <v>79</v>
      </c>
      <c r="E61">
        <v>40.951208388192761</v>
      </c>
      <c r="F61">
        <v>29.290075418833698</v>
      </c>
      <c r="G61">
        <v>32.700000000000003</v>
      </c>
      <c r="H61">
        <v>0.33333333333333331</v>
      </c>
      <c r="I61">
        <v>1102.887335100135</v>
      </c>
      <c r="J61">
        <v>22700</v>
      </c>
      <c r="K61">
        <v>0.75442337333299181</v>
      </c>
      <c r="L61">
        <v>0.82014439480861856</v>
      </c>
      <c r="M61">
        <v>0.61834358818350033</v>
      </c>
      <c r="O61">
        <v>0</v>
      </c>
    </row>
    <row r="62" spans="1:15" x14ac:dyDescent="0.25">
      <c r="A62">
        <v>61</v>
      </c>
      <c r="B62">
        <v>151349219</v>
      </c>
      <c r="C62" t="s">
        <v>81</v>
      </c>
      <c r="D62" t="s">
        <v>79</v>
      </c>
      <c r="E62">
        <v>40.953003951362582</v>
      </c>
      <c r="F62">
        <v>29.28554628294502</v>
      </c>
      <c r="G62">
        <v>32.700000000000003</v>
      </c>
      <c r="H62">
        <v>0.66666666666666663</v>
      </c>
      <c r="I62">
        <v>789.95571538782178</v>
      </c>
      <c r="J62">
        <v>22700</v>
      </c>
      <c r="K62">
        <v>0.80979418465836639</v>
      </c>
      <c r="L62">
        <v>0.85817412814035754</v>
      </c>
      <c r="M62">
        <v>0.75187850033249404</v>
      </c>
      <c r="O62">
        <v>0</v>
      </c>
    </row>
    <row r="63" spans="1:15" x14ac:dyDescent="0.25">
      <c r="A63">
        <v>62</v>
      </c>
      <c r="B63">
        <v>151349220</v>
      </c>
      <c r="C63" t="s">
        <v>82</v>
      </c>
      <c r="D63" t="s">
        <v>79</v>
      </c>
      <c r="E63">
        <v>40.949726175269859</v>
      </c>
      <c r="F63">
        <v>29.288703366823761</v>
      </c>
      <c r="G63">
        <v>32.700000000000003</v>
      </c>
      <c r="H63">
        <v>0.66666666666666663</v>
      </c>
      <c r="I63">
        <v>979.22995765518078</v>
      </c>
      <c r="J63">
        <v>22700</v>
      </c>
      <c r="K63">
        <v>0.82505554618307508</v>
      </c>
      <c r="L63">
        <v>0.86929363179733854</v>
      </c>
      <c r="M63">
        <v>0.76241227681753398</v>
      </c>
      <c r="O63">
        <v>0</v>
      </c>
    </row>
    <row r="64" spans="1:15" x14ac:dyDescent="0.25">
      <c r="A64">
        <v>63</v>
      </c>
      <c r="B64">
        <v>151349203</v>
      </c>
      <c r="C64" t="s">
        <v>83</v>
      </c>
      <c r="D64" t="s">
        <v>84</v>
      </c>
      <c r="E64">
        <v>40.965212584124536</v>
      </c>
      <c r="F64">
        <v>29.249913197280058</v>
      </c>
      <c r="G64">
        <v>15.1</v>
      </c>
      <c r="H64">
        <v>0.33333333333333331</v>
      </c>
      <c r="I64">
        <v>673.0503789410933</v>
      </c>
      <c r="J64">
        <v>18300</v>
      </c>
      <c r="K64">
        <v>0.36962231716146748</v>
      </c>
      <c r="L64">
        <v>0.3730881034263997</v>
      </c>
      <c r="M64">
        <v>0.35781578663368763</v>
      </c>
      <c r="O64">
        <v>0</v>
      </c>
    </row>
    <row r="65" spans="1:15" x14ac:dyDescent="0.25">
      <c r="A65">
        <v>64</v>
      </c>
      <c r="B65">
        <v>151349200</v>
      </c>
      <c r="C65" t="s">
        <v>85</v>
      </c>
      <c r="D65" t="s">
        <v>84</v>
      </c>
      <c r="E65">
        <v>40.966163518183471</v>
      </c>
      <c r="F65">
        <v>29.24734214592582</v>
      </c>
      <c r="G65">
        <v>15.1</v>
      </c>
      <c r="H65">
        <v>0</v>
      </c>
      <c r="I65">
        <v>679.28960347871543</v>
      </c>
      <c r="J65">
        <v>18300</v>
      </c>
      <c r="K65">
        <v>0.33542956864307599</v>
      </c>
      <c r="L65">
        <v>0.3563598689671939</v>
      </c>
      <c r="M65">
        <v>0.26273848882817991</v>
      </c>
      <c r="O65">
        <v>0</v>
      </c>
    </row>
    <row r="66" spans="1:15" x14ac:dyDescent="0.25">
      <c r="A66">
        <v>65</v>
      </c>
      <c r="B66">
        <v>151349204</v>
      </c>
      <c r="C66" t="s">
        <v>86</v>
      </c>
      <c r="D66" t="s">
        <v>84</v>
      </c>
      <c r="E66">
        <v>40.970331061969461</v>
      </c>
      <c r="F66">
        <v>29.249330662964681</v>
      </c>
      <c r="G66">
        <v>15.1</v>
      </c>
      <c r="H66">
        <v>0.66666666666666663</v>
      </c>
      <c r="I66">
        <v>259.91099594595801</v>
      </c>
      <c r="J66">
        <v>18300</v>
      </c>
      <c r="K66">
        <v>0.40568055806725661</v>
      </c>
      <c r="L66">
        <v>0.39026018686662539</v>
      </c>
      <c r="M66">
        <v>0.48331381671349682</v>
      </c>
      <c r="O66">
        <v>0</v>
      </c>
    </row>
    <row r="67" spans="1:15" x14ac:dyDescent="0.25">
      <c r="A67">
        <v>66</v>
      </c>
      <c r="B67">
        <v>151349205</v>
      </c>
      <c r="C67" t="s">
        <v>87</v>
      </c>
      <c r="D67" t="s">
        <v>84</v>
      </c>
      <c r="E67">
        <v>40.967654805768817</v>
      </c>
      <c r="F67">
        <v>29.250364180375879</v>
      </c>
      <c r="G67">
        <v>15.1</v>
      </c>
      <c r="H67">
        <v>0.66666666666666663</v>
      </c>
      <c r="I67">
        <v>405.00960334107259</v>
      </c>
      <c r="J67">
        <v>18300</v>
      </c>
      <c r="K67">
        <v>0.41033938248284429</v>
      </c>
      <c r="L67">
        <v>0.39264261969763198</v>
      </c>
      <c r="M67">
        <v>0.48809830891940309</v>
      </c>
      <c r="O67">
        <v>0</v>
      </c>
    </row>
    <row r="68" spans="1:15" x14ac:dyDescent="0.25">
      <c r="A68">
        <v>67</v>
      </c>
      <c r="B68">
        <v>151349202</v>
      </c>
      <c r="C68" t="s">
        <v>88</v>
      </c>
      <c r="D68" t="s">
        <v>84</v>
      </c>
      <c r="E68">
        <v>40.968150397871327</v>
      </c>
      <c r="F68">
        <v>29.24499981273058</v>
      </c>
      <c r="G68">
        <v>15.1</v>
      </c>
      <c r="H68">
        <v>0</v>
      </c>
      <c r="I68">
        <v>689.54616188743103</v>
      </c>
      <c r="J68">
        <v>18300</v>
      </c>
      <c r="K68">
        <v>0.33585027674996148</v>
      </c>
      <c r="L68">
        <v>0.35657361744202398</v>
      </c>
      <c r="M68">
        <v>0.2631695038105854</v>
      </c>
      <c r="O68">
        <v>0</v>
      </c>
    </row>
    <row r="69" spans="1:15" x14ac:dyDescent="0.25">
      <c r="A69">
        <v>68</v>
      </c>
      <c r="B69">
        <v>151349206</v>
      </c>
      <c r="C69" t="s">
        <v>89</v>
      </c>
      <c r="D69" t="s">
        <v>84</v>
      </c>
      <c r="E69">
        <v>40.970990818863832</v>
      </c>
      <c r="F69">
        <v>29.252300541330371</v>
      </c>
      <c r="G69">
        <v>15.1</v>
      </c>
      <c r="H69">
        <v>1</v>
      </c>
      <c r="I69">
        <v>0</v>
      </c>
      <c r="J69">
        <v>18300</v>
      </c>
      <c r="K69">
        <v>0.44902928729443159</v>
      </c>
      <c r="L69">
        <v>0.41458746269837082</v>
      </c>
      <c r="M69">
        <v>0.5749384840024746</v>
      </c>
      <c r="O69">
        <v>0</v>
      </c>
    </row>
    <row r="70" spans="1:15" x14ac:dyDescent="0.25">
      <c r="A70">
        <v>69</v>
      </c>
      <c r="B70">
        <v>151349201</v>
      </c>
      <c r="C70" t="s">
        <v>90</v>
      </c>
      <c r="D70" t="s">
        <v>84</v>
      </c>
      <c r="E70">
        <v>40.972377850524808</v>
      </c>
      <c r="F70">
        <v>29.249909694982339</v>
      </c>
      <c r="G70">
        <v>15.1</v>
      </c>
      <c r="H70">
        <v>0</v>
      </c>
      <c r="I70">
        <v>253.1362725755005</v>
      </c>
      <c r="J70">
        <v>18300</v>
      </c>
      <c r="K70">
        <v>0.32089895649606509</v>
      </c>
      <c r="L70">
        <v>0.34882541156815922</v>
      </c>
      <c r="M70">
        <v>0.24872401967156729</v>
      </c>
      <c r="O70">
        <v>0</v>
      </c>
    </row>
    <row r="71" spans="1:15" x14ac:dyDescent="0.25">
      <c r="A71">
        <v>70</v>
      </c>
      <c r="B71">
        <v>151349254</v>
      </c>
      <c r="C71" t="s">
        <v>91</v>
      </c>
      <c r="D71" t="s">
        <v>92</v>
      </c>
      <c r="E71">
        <v>40.954961810046072</v>
      </c>
      <c r="F71">
        <v>29.29615807880041</v>
      </c>
      <c r="G71">
        <v>15.5</v>
      </c>
      <c r="H71">
        <v>0.66666666666666663</v>
      </c>
      <c r="I71">
        <v>992.99389055897575</v>
      </c>
      <c r="J71">
        <v>25400</v>
      </c>
      <c r="K71">
        <v>0.44368024629052433</v>
      </c>
      <c r="L71">
        <v>0.41623431880349671</v>
      </c>
      <c r="M71">
        <v>0.51625705497324403</v>
      </c>
      <c r="O71">
        <v>0</v>
      </c>
    </row>
    <row r="72" spans="1:15" x14ac:dyDescent="0.25">
      <c r="A72">
        <v>71</v>
      </c>
      <c r="B72">
        <v>151349255</v>
      </c>
      <c r="C72" t="s">
        <v>93</v>
      </c>
      <c r="D72" t="s">
        <v>92</v>
      </c>
      <c r="E72">
        <v>40.951279404407387</v>
      </c>
      <c r="F72">
        <v>29.308940317050471</v>
      </c>
      <c r="G72">
        <v>15.5</v>
      </c>
      <c r="H72">
        <v>0.66666666666666663</v>
      </c>
      <c r="I72">
        <v>710.9543091351768</v>
      </c>
      <c r="J72">
        <v>25400</v>
      </c>
      <c r="K72">
        <v>0.43234265336072059</v>
      </c>
      <c r="L72">
        <v>0.41020843088043979</v>
      </c>
      <c r="M72">
        <v>0.50631865598363635</v>
      </c>
      <c r="O72">
        <v>0</v>
      </c>
    </row>
    <row r="73" spans="1:15" x14ac:dyDescent="0.25">
      <c r="A73">
        <v>72</v>
      </c>
      <c r="B73">
        <v>151349259</v>
      </c>
      <c r="C73" t="s">
        <v>94</v>
      </c>
      <c r="D73" t="s">
        <v>92</v>
      </c>
      <c r="E73">
        <v>40.953099373298869</v>
      </c>
      <c r="F73">
        <v>29.30127930387404</v>
      </c>
      <c r="G73">
        <v>15.5</v>
      </c>
      <c r="H73">
        <v>0.66666666666666663</v>
      </c>
      <c r="I73">
        <v>647.60223041701602</v>
      </c>
      <c r="J73">
        <v>25400</v>
      </c>
      <c r="K73">
        <v>0.42991253843593769</v>
      </c>
      <c r="L73">
        <v>0.40894152794970351</v>
      </c>
      <c r="M73">
        <v>0.50408348804664971</v>
      </c>
      <c r="O73">
        <v>0</v>
      </c>
    </row>
    <row r="74" spans="1:15" x14ac:dyDescent="0.25">
      <c r="A74">
        <v>73</v>
      </c>
      <c r="B74">
        <v>151349326</v>
      </c>
      <c r="C74" t="s">
        <v>95</v>
      </c>
      <c r="D74" t="s">
        <v>92</v>
      </c>
      <c r="E74">
        <v>40.962656479794049</v>
      </c>
      <c r="F74">
        <v>29.29883972870045</v>
      </c>
      <c r="G74">
        <v>15.5</v>
      </c>
      <c r="H74">
        <v>0.66666666666666663</v>
      </c>
      <c r="I74">
        <v>1729.158467385467</v>
      </c>
      <c r="J74">
        <v>25400</v>
      </c>
      <c r="K74">
        <v>0.47435450128924678</v>
      </c>
      <c r="L74">
        <v>0.43399214581009088</v>
      </c>
      <c r="M74">
        <v>0.54001886620137163</v>
      </c>
      <c r="O74">
        <v>0</v>
      </c>
    </row>
    <row r="75" spans="1:15" x14ac:dyDescent="0.25">
      <c r="A75">
        <v>74</v>
      </c>
      <c r="B75">
        <v>151349256</v>
      </c>
      <c r="C75" t="s">
        <v>96</v>
      </c>
      <c r="D75" t="s">
        <v>92</v>
      </c>
      <c r="E75">
        <v>40.951822506113373</v>
      </c>
      <c r="F75">
        <v>29.307787851118398</v>
      </c>
      <c r="G75">
        <v>15.5</v>
      </c>
      <c r="H75">
        <v>0.66666666666666663</v>
      </c>
      <c r="I75">
        <v>680.74955287544992</v>
      </c>
      <c r="J75">
        <v>25400</v>
      </c>
      <c r="K75">
        <v>0.43117760653607012</v>
      </c>
      <c r="L75">
        <v>0.40960011207058422</v>
      </c>
      <c r="M75">
        <v>0.50525226716250504</v>
      </c>
      <c r="O75">
        <v>0</v>
      </c>
    </row>
    <row r="76" spans="1:15" x14ac:dyDescent="0.25">
      <c r="A76">
        <v>75</v>
      </c>
      <c r="B76">
        <v>151349252</v>
      </c>
      <c r="C76" t="s">
        <v>97</v>
      </c>
      <c r="D76" t="s">
        <v>92</v>
      </c>
      <c r="E76">
        <v>40.960895751509177</v>
      </c>
      <c r="F76">
        <v>29.29691401533784</v>
      </c>
      <c r="G76">
        <v>15.5</v>
      </c>
      <c r="H76">
        <v>0</v>
      </c>
      <c r="I76">
        <v>1574.9952774705</v>
      </c>
      <c r="J76">
        <v>25400</v>
      </c>
      <c r="K76">
        <v>0.38941372722491691</v>
      </c>
      <c r="L76">
        <v>0.39064743910662408</v>
      </c>
      <c r="M76">
        <v>0.31707938362058069</v>
      </c>
      <c r="O76">
        <v>0</v>
      </c>
    </row>
    <row r="77" spans="1:15" x14ac:dyDescent="0.25">
      <c r="A77">
        <v>76</v>
      </c>
      <c r="B77">
        <v>151349257</v>
      </c>
      <c r="C77" t="s">
        <v>98</v>
      </c>
      <c r="D77" t="s">
        <v>92</v>
      </c>
      <c r="E77">
        <v>40.951570628015332</v>
      </c>
      <c r="F77">
        <v>29.308387468128629</v>
      </c>
      <c r="G77">
        <v>15.5</v>
      </c>
      <c r="H77">
        <v>1</v>
      </c>
      <c r="I77">
        <v>696.60075903230074</v>
      </c>
      <c r="J77">
        <v>25400</v>
      </c>
      <c r="K77">
        <v>0.48002883728757961</v>
      </c>
      <c r="L77">
        <v>0.43654164200623452</v>
      </c>
      <c r="M77">
        <v>0.60539399758965984</v>
      </c>
      <c r="O77">
        <v>0</v>
      </c>
    </row>
    <row r="78" spans="1:15" x14ac:dyDescent="0.25">
      <c r="A78">
        <v>77</v>
      </c>
      <c r="B78">
        <v>151349253</v>
      </c>
      <c r="C78" t="s">
        <v>99</v>
      </c>
      <c r="D78" t="s">
        <v>92</v>
      </c>
      <c r="E78">
        <v>40.956057282694928</v>
      </c>
      <c r="F78">
        <v>29.305302266880929</v>
      </c>
      <c r="G78">
        <v>15.5</v>
      </c>
      <c r="H78">
        <v>0.33333333333333331</v>
      </c>
      <c r="I78">
        <v>1003.403364079733</v>
      </c>
      <c r="J78">
        <v>25400</v>
      </c>
      <c r="K78">
        <v>0.39577215233037338</v>
      </c>
      <c r="L78">
        <v>0.3927528573658301</v>
      </c>
      <c r="M78">
        <v>0.37983409252165551</v>
      </c>
      <c r="O78">
        <v>0</v>
      </c>
    </row>
    <row r="79" spans="1:15" x14ac:dyDescent="0.25">
      <c r="A79">
        <v>78</v>
      </c>
      <c r="B79">
        <v>151349258</v>
      </c>
      <c r="C79" t="s">
        <v>100</v>
      </c>
      <c r="D79" t="s">
        <v>92</v>
      </c>
      <c r="E79">
        <v>40.954353030443322</v>
      </c>
      <c r="F79">
        <v>29.298382488154349</v>
      </c>
      <c r="G79">
        <v>15.5</v>
      </c>
      <c r="H79">
        <v>0</v>
      </c>
      <c r="I79">
        <v>847.47882170281287</v>
      </c>
      <c r="J79">
        <v>25400</v>
      </c>
      <c r="K79">
        <v>0.35371278221347419</v>
      </c>
      <c r="L79">
        <v>0.37197758427622418</v>
      </c>
      <c r="M79">
        <v>0.27833444476312752</v>
      </c>
      <c r="O79">
        <v>0</v>
      </c>
    </row>
    <row r="80" spans="1:15" x14ac:dyDescent="0.25">
      <c r="A80">
        <v>79</v>
      </c>
      <c r="B80">
        <v>151349251</v>
      </c>
      <c r="C80" t="s">
        <v>101</v>
      </c>
      <c r="D80" t="s">
        <v>92</v>
      </c>
      <c r="E80">
        <v>40.958985399941447</v>
      </c>
      <c r="F80">
        <v>29.29275014093141</v>
      </c>
      <c r="G80">
        <v>15.5</v>
      </c>
      <c r="H80">
        <v>0</v>
      </c>
      <c r="I80">
        <v>1523.995373789485</v>
      </c>
      <c r="J80">
        <v>25400</v>
      </c>
      <c r="K80">
        <v>0.38678193809128009</v>
      </c>
      <c r="L80">
        <v>0.3892169739323233</v>
      </c>
      <c r="M80">
        <v>0.31414867387077261</v>
      </c>
      <c r="O80">
        <v>0</v>
      </c>
    </row>
    <row r="81" spans="1:15" x14ac:dyDescent="0.25">
      <c r="A81">
        <v>80</v>
      </c>
      <c r="B81">
        <v>151349211</v>
      </c>
      <c r="C81" t="s">
        <v>102</v>
      </c>
      <c r="D81" t="s">
        <v>103</v>
      </c>
      <c r="E81">
        <v>40.956155563810661</v>
      </c>
      <c r="F81">
        <v>29.26739039582964</v>
      </c>
      <c r="G81">
        <v>31</v>
      </c>
      <c r="H81">
        <v>0</v>
      </c>
      <c r="I81">
        <v>469.48872481380192</v>
      </c>
      <c r="J81">
        <v>31100</v>
      </c>
      <c r="K81">
        <v>0.64428612015522213</v>
      </c>
      <c r="L81">
        <v>0.72887813194327455</v>
      </c>
      <c r="M81">
        <v>0.48455530656706269</v>
      </c>
      <c r="O81">
        <v>0</v>
      </c>
    </row>
    <row r="82" spans="1:15" x14ac:dyDescent="0.25">
      <c r="A82">
        <v>81</v>
      </c>
      <c r="B82">
        <v>151349213</v>
      </c>
      <c r="C82" t="s">
        <v>104</v>
      </c>
      <c r="D82" t="s">
        <v>103</v>
      </c>
      <c r="E82">
        <v>40.955440256130309</v>
      </c>
      <c r="F82">
        <v>29.258099275836891</v>
      </c>
      <c r="G82">
        <v>31</v>
      </c>
      <c r="H82">
        <v>0.66666666666666663</v>
      </c>
      <c r="I82">
        <v>476.07286642585882</v>
      </c>
      <c r="J82">
        <v>31100</v>
      </c>
      <c r="K82">
        <v>0.76655982927576938</v>
      </c>
      <c r="L82">
        <v>0.81492824179763468</v>
      </c>
      <c r="M82">
        <v>0.72173284650534308</v>
      </c>
      <c r="O82">
        <v>0</v>
      </c>
    </row>
    <row r="83" spans="1:15" x14ac:dyDescent="0.25">
      <c r="A83">
        <v>82</v>
      </c>
      <c r="B83">
        <v>151349215</v>
      </c>
      <c r="C83" t="s">
        <v>105</v>
      </c>
      <c r="D83" t="s">
        <v>103</v>
      </c>
      <c r="E83">
        <v>40.969284067010037</v>
      </c>
      <c r="F83">
        <v>29.264987856483248</v>
      </c>
      <c r="G83">
        <v>31</v>
      </c>
      <c r="H83">
        <v>0</v>
      </c>
      <c r="I83">
        <v>208.50428256711169</v>
      </c>
      <c r="J83">
        <v>31100</v>
      </c>
      <c r="K83">
        <v>0.63357944350955964</v>
      </c>
      <c r="L83">
        <v>0.72011653675750475</v>
      </c>
      <c r="M83">
        <v>0.47915438805079241</v>
      </c>
      <c r="O83">
        <v>0</v>
      </c>
    </row>
    <row r="84" spans="1:15" x14ac:dyDescent="0.25">
      <c r="A84">
        <v>83</v>
      </c>
      <c r="B84">
        <v>151349208</v>
      </c>
      <c r="C84" t="s">
        <v>106</v>
      </c>
      <c r="D84" t="s">
        <v>103</v>
      </c>
      <c r="E84">
        <v>40.961630143795567</v>
      </c>
      <c r="F84">
        <v>29.264428840103779</v>
      </c>
      <c r="G84">
        <v>31</v>
      </c>
      <c r="H84">
        <v>0.33333333333333331</v>
      </c>
      <c r="I84">
        <v>839.54204132365305</v>
      </c>
      <c r="J84">
        <v>31100</v>
      </c>
      <c r="K84">
        <v>0.72610848014439822</v>
      </c>
      <c r="L84">
        <v>0.78971153987480214</v>
      </c>
      <c r="M84">
        <v>0.59742799355221343</v>
      </c>
      <c r="O84">
        <v>0</v>
      </c>
    </row>
    <row r="85" spans="1:15" x14ac:dyDescent="0.25">
      <c r="A85">
        <v>84</v>
      </c>
      <c r="B85">
        <v>151349189</v>
      </c>
      <c r="C85" t="s">
        <v>107</v>
      </c>
      <c r="D85" t="s">
        <v>103</v>
      </c>
      <c r="E85">
        <v>40.953438832318177</v>
      </c>
      <c r="F85">
        <v>29.263110757745331</v>
      </c>
      <c r="G85">
        <v>31</v>
      </c>
      <c r="H85">
        <v>0.66666666666666663</v>
      </c>
      <c r="I85">
        <v>0</v>
      </c>
      <c r="J85">
        <v>31100</v>
      </c>
      <c r="K85">
        <v>0.72592026719504887</v>
      </c>
      <c r="L85">
        <v>0.7851962938740078</v>
      </c>
      <c r="M85">
        <v>0.68966382268519955</v>
      </c>
      <c r="O85">
        <v>0</v>
      </c>
    </row>
    <row r="86" spans="1:15" x14ac:dyDescent="0.25">
      <c r="A86">
        <v>85</v>
      </c>
      <c r="B86">
        <v>151349214</v>
      </c>
      <c r="C86" t="s">
        <v>108</v>
      </c>
      <c r="D86" t="s">
        <v>103</v>
      </c>
      <c r="E86">
        <v>40.968839205302608</v>
      </c>
      <c r="F86">
        <v>29.267400354180111</v>
      </c>
      <c r="G86">
        <v>31</v>
      </c>
      <c r="H86">
        <v>0.66666666666666663</v>
      </c>
      <c r="I86">
        <v>0</v>
      </c>
      <c r="J86">
        <v>31100</v>
      </c>
      <c r="K86">
        <v>0.72592026719504887</v>
      </c>
      <c r="L86">
        <v>0.7851962938740078</v>
      </c>
      <c r="M86">
        <v>0.68966382268519955</v>
      </c>
      <c r="O86">
        <v>0</v>
      </c>
    </row>
    <row r="87" spans="1:15" x14ac:dyDescent="0.25">
      <c r="A87">
        <v>86</v>
      </c>
      <c r="B87">
        <v>151349209</v>
      </c>
      <c r="C87" t="s">
        <v>109</v>
      </c>
      <c r="D87" t="s">
        <v>103</v>
      </c>
      <c r="E87">
        <v>40.950935290240068</v>
      </c>
      <c r="F87">
        <v>29.265420570472401</v>
      </c>
      <c r="G87">
        <v>31</v>
      </c>
      <c r="H87">
        <v>0</v>
      </c>
      <c r="I87">
        <v>339.29960426418211</v>
      </c>
      <c r="J87">
        <v>31100</v>
      </c>
      <c r="K87">
        <v>0.639014964460901</v>
      </c>
      <c r="L87">
        <v>0.72460948440309969</v>
      </c>
      <c r="M87">
        <v>0.48182875606527659</v>
      </c>
      <c r="O87">
        <v>0</v>
      </c>
    </row>
    <row r="88" spans="1:15" x14ac:dyDescent="0.25">
      <c r="A88">
        <v>87</v>
      </c>
      <c r="B88">
        <v>151349210</v>
      </c>
      <c r="C88" t="s">
        <v>110</v>
      </c>
      <c r="D88" t="s">
        <v>103</v>
      </c>
      <c r="E88">
        <v>40.955095065930813</v>
      </c>
      <c r="F88">
        <v>29.263162698855741</v>
      </c>
      <c r="G88">
        <v>31</v>
      </c>
      <c r="H88">
        <v>0</v>
      </c>
      <c r="I88">
        <v>184.2164234625406</v>
      </c>
      <c r="J88">
        <v>31100</v>
      </c>
      <c r="K88">
        <v>0.63255804966214513</v>
      </c>
      <c r="L88">
        <v>0.71926217079090471</v>
      </c>
      <c r="M88">
        <v>0.47866588947346461</v>
      </c>
      <c r="O88">
        <v>0</v>
      </c>
    </row>
    <row r="89" spans="1:15" x14ac:dyDescent="0.25">
      <c r="A89">
        <v>88</v>
      </c>
      <c r="B89">
        <v>151349212</v>
      </c>
      <c r="C89" t="s">
        <v>111</v>
      </c>
      <c r="D89" t="s">
        <v>103</v>
      </c>
      <c r="E89">
        <v>40.963754188160642</v>
      </c>
      <c r="F89">
        <v>29.265291456775099</v>
      </c>
      <c r="G89">
        <v>31</v>
      </c>
      <c r="H89">
        <v>0.33333333333333331</v>
      </c>
      <c r="I89">
        <v>592.50513255892599</v>
      </c>
      <c r="J89">
        <v>31100</v>
      </c>
      <c r="K89">
        <v>0.71270968104768095</v>
      </c>
      <c r="L89">
        <v>0.77987678278571937</v>
      </c>
      <c r="M89">
        <v>0.58932045681434309</v>
      </c>
      <c r="O89">
        <v>0</v>
      </c>
    </row>
    <row r="90" spans="1:15" x14ac:dyDescent="0.25">
      <c r="A90">
        <v>89</v>
      </c>
      <c r="B90">
        <v>151349291</v>
      </c>
      <c r="C90" t="s">
        <v>112</v>
      </c>
      <c r="D90" t="s">
        <v>113</v>
      </c>
      <c r="E90">
        <v>40.989801073734931</v>
      </c>
      <c r="F90">
        <v>29.255876249056492</v>
      </c>
      <c r="G90">
        <v>3.9</v>
      </c>
      <c r="H90">
        <v>1</v>
      </c>
      <c r="I90">
        <v>1032.197570890266</v>
      </c>
      <c r="J90">
        <v>32600</v>
      </c>
      <c r="K90">
        <v>0.31953982944860809</v>
      </c>
      <c r="L90">
        <v>0.234078422645876</v>
      </c>
      <c r="M90">
        <v>0.48454343200261418</v>
      </c>
      <c r="O90">
        <v>0</v>
      </c>
    </row>
    <row r="91" spans="1:15" x14ac:dyDescent="0.25">
      <c r="A91">
        <v>90</v>
      </c>
      <c r="B91">
        <v>151349272</v>
      </c>
      <c r="C91" t="s">
        <v>114</v>
      </c>
      <c r="D91" t="s">
        <v>113</v>
      </c>
      <c r="E91">
        <v>41.001349618548367</v>
      </c>
      <c r="F91">
        <v>29.28130344803975</v>
      </c>
      <c r="G91">
        <v>3.9</v>
      </c>
      <c r="H91">
        <v>1</v>
      </c>
      <c r="I91">
        <v>1574.9748697546131</v>
      </c>
      <c r="J91">
        <v>32600</v>
      </c>
      <c r="K91">
        <v>0.34094342935851008</v>
      </c>
      <c r="L91">
        <v>0.25201053480811708</v>
      </c>
      <c r="M91">
        <v>0.4954468808929024</v>
      </c>
      <c r="O91">
        <v>0</v>
      </c>
    </row>
    <row r="92" spans="1:15" x14ac:dyDescent="0.25">
      <c r="A92">
        <v>91</v>
      </c>
      <c r="B92">
        <v>151349278</v>
      </c>
      <c r="C92" t="s">
        <v>115</v>
      </c>
      <c r="D92" t="s">
        <v>113</v>
      </c>
      <c r="E92">
        <v>40.99199090687916</v>
      </c>
      <c r="F92">
        <v>29.2673937473634</v>
      </c>
      <c r="G92">
        <v>3.9</v>
      </c>
      <c r="H92">
        <v>0.33333333333333331</v>
      </c>
      <c r="I92">
        <v>86.680751722260098</v>
      </c>
      <c r="J92">
        <v>32600</v>
      </c>
      <c r="K92">
        <v>0.1271938259025335</v>
      </c>
      <c r="L92">
        <v>9.0054433702061412E-2</v>
      </c>
      <c r="M92">
        <v>0.20570513182996689</v>
      </c>
      <c r="O92">
        <v>0</v>
      </c>
    </row>
    <row r="93" spans="1:15" x14ac:dyDescent="0.25">
      <c r="A93">
        <v>92</v>
      </c>
      <c r="B93">
        <v>151349280</v>
      </c>
      <c r="C93" t="s">
        <v>116</v>
      </c>
      <c r="D93" t="s">
        <v>113</v>
      </c>
      <c r="E93">
        <v>40.998563524385432</v>
      </c>
      <c r="F93">
        <v>29.274259853457728</v>
      </c>
      <c r="G93">
        <v>3.9</v>
      </c>
      <c r="H93">
        <v>1</v>
      </c>
      <c r="I93">
        <v>957.96193871725063</v>
      </c>
      <c r="J93">
        <v>32600</v>
      </c>
      <c r="K93">
        <v>0.31693064420603501</v>
      </c>
      <c r="L93">
        <v>0.23198660489182071</v>
      </c>
      <c r="M93">
        <v>0.48304798647788288</v>
      </c>
      <c r="O93">
        <v>0</v>
      </c>
    </row>
    <row r="94" spans="1:15" x14ac:dyDescent="0.25">
      <c r="A94">
        <v>93</v>
      </c>
      <c r="B94">
        <v>151349274</v>
      </c>
      <c r="C94" t="s">
        <v>117</v>
      </c>
      <c r="D94" t="s">
        <v>113</v>
      </c>
      <c r="E94">
        <v>40.993085279630023</v>
      </c>
      <c r="F94">
        <v>29.260381782579159</v>
      </c>
      <c r="G94">
        <v>3.9</v>
      </c>
      <c r="H94">
        <v>0.66666666666666663</v>
      </c>
      <c r="I94">
        <v>667.54272182638965</v>
      </c>
      <c r="J94">
        <v>32600</v>
      </c>
      <c r="K94">
        <v>0.23597653330171259</v>
      </c>
      <c r="L94">
        <v>0.16905461388565141</v>
      </c>
      <c r="M94">
        <v>0.37245327921652438</v>
      </c>
      <c r="O94">
        <v>0</v>
      </c>
    </row>
    <row r="95" spans="1:15" x14ac:dyDescent="0.25">
      <c r="A95">
        <v>94</v>
      </c>
      <c r="B95">
        <v>151349275</v>
      </c>
      <c r="C95" t="s">
        <v>118</v>
      </c>
      <c r="D95" t="s">
        <v>113</v>
      </c>
      <c r="E95">
        <v>40.9933731681826</v>
      </c>
      <c r="F95">
        <v>29.260726741445851</v>
      </c>
      <c r="G95">
        <v>3.9</v>
      </c>
      <c r="H95">
        <v>0</v>
      </c>
      <c r="I95">
        <v>650.18228696925462</v>
      </c>
      <c r="J95">
        <v>32600</v>
      </c>
      <c r="K95">
        <v>0.1052100313506118</v>
      </c>
      <c r="L95">
        <v>7.6985996373253249E-2</v>
      </c>
      <c r="M95">
        <v>0.101656494771769</v>
      </c>
      <c r="O95">
        <v>0</v>
      </c>
    </row>
    <row r="96" spans="1:15" x14ac:dyDescent="0.25">
      <c r="A96">
        <v>95</v>
      </c>
      <c r="B96">
        <v>151349277</v>
      </c>
      <c r="C96" t="s">
        <v>119</v>
      </c>
      <c r="D96" t="s">
        <v>113</v>
      </c>
      <c r="E96">
        <v>40.990639230940687</v>
      </c>
      <c r="F96">
        <v>29.257831252139621</v>
      </c>
      <c r="G96">
        <v>3.9</v>
      </c>
      <c r="H96">
        <v>0</v>
      </c>
      <c r="I96">
        <v>857.2033229542559</v>
      </c>
      <c r="J96">
        <v>32600</v>
      </c>
      <c r="K96">
        <v>0.12911016620813459</v>
      </c>
      <c r="L96">
        <v>9.4726451954655802E-2</v>
      </c>
      <c r="M96">
        <v>0.1245917261191702</v>
      </c>
      <c r="O96">
        <v>0</v>
      </c>
    </row>
    <row r="97" spans="1:15" x14ac:dyDescent="0.25">
      <c r="A97">
        <v>96</v>
      </c>
      <c r="B97">
        <v>151349271</v>
      </c>
      <c r="C97" t="s">
        <v>120</v>
      </c>
      <c r="D97" t="s">
        <v>113</v>
      </c>
      <c r="E97">
        <v>40.997525089882188</v>
      </c>
      <c r="F97">
        <v>29.262705744487189</v>
      </c>
      <c r="G97">
        <v>3.9</v>
      </c>
      <c r="H97">
        <v>1</v>
      </c>
      <c r="I97">
        <v>816.95036909932253</v>
      </c>
      <c r="J97">
        <v>32600</v>
      </c>
      <c r="K97">
        <v>0.31225916731802722</v>
      </c>
      <c r="L97">
        <v>0.22831003455592261</v>
      </c>
      <c r="M97">
        <v>0.48022518360402761</v>
      </c>
      <c r="O97">
        <v>0</v>
      </c>
    </row>
    <row r="98" spans="1:15" x14ac:dyDescent="0.25">
      <c r="A98">
        <v>97</v>
      </c>
      <c r="B98">
        <v>151349281</v>
      </c>
      <c r="C98" t="s">
        <v>121</v>
      </c>
      <c r="D98" t="s">
        <v>113</v>
      </c>
      <c r="E98">
        <v>41.002531104098559</v>
      </c>
      <c r="F98">
        <v>29.268164157355919</v>
      </c>
      <c r="G98">
        <v>3.9</v>
      </c>
      <c r="H98">
        <v>1</v>
      </c>
      <c r="I98">
        <v>1242.2854526070571</v>
      </c>
      <c r="J98">
        <v>32600</v>
      </c>
      <c r="K98">
        <v>0.32740296673845187</v>
      </c>
      <c r="L98">
        <v>0.24051912085585869</v>
      </c>
      <c r="M98">
        <v>0.48878770775926772</v>
      </c>
      <c r="O98">
        <v>0</v>
      </c>
    </row>
    <row r="99" spans="1:15" x14ac:dyDescent="0.25">
      <c r="A99">
        <v>98</v>
      </c>
      <c r="B99">
        <v>151349273</v>
      </c>
      <c r="C99" t="s">
        <v>122</v>
      </c>
      <c r="D99" t="s">
        <v>113</v>
      </c>
      <c r="E99">
        <v>40.992778243519602</v>
      </c>
      <c r="F99">
        <v>29.264216711033772</v>
      </c>
      <c r="G99">
        <v>3.9</v>
      </c>
      <c r="H99">
        <v>0</v>
      </c>
      <c r="I99">
        <v>354.53141822964358</v>
      </c>
      <c r="J99">
        <v>32600</v>
      </c>
      <c r="K99">
        <v>7.2803946516429172E-2</v>
      </c>
      <c r="L99">
        <v>5.3384532457708862E-2</v>
      </c>
      <c r="M99">
        <v>7.0745964357517385E-2</v>
      </c>
      <c r="O99">
        <v>0</v>
      </c>
    </row>
    <row r="100" spans="1:15" x14ac:dyDescent="0.25">
      <c r="A100">
        <v>99</v>
      </c>
      <c r="B100">
        <v>151349269</v>
      </c>
      <c r="C100" t="s">
        <v>123</v>
      </c>
      <c r="D100" t="s">
        <v>113</v>
      </c>
      <c r="E100">
        <v>40.989595639721863</v>
      </c>
      <c r="F100">
        <v>29.274064709353201</v>
      </c>
      <c r="G100">
        <v>3.9</v>
      </c>
      <c r="H100">
        <v>0</v>
      </c>
      <c r="I100">
        <v>545.53103455458063</v>
      </c>
      <c r="J100">
        <v>32600</v>
      </c>
      <c r="K100">
        <v>9.3276608088191382E-2</v>
      </c>
      <c r="L100">
        <v>6.8230589476827475E-2</v>
      </c>
      <c r="M100">
        <v>9.0242803277710282E-2</v>
      </c>
      <c r="O100">
        <v>0</v>
      </c>
    </row>
    <row r="101" spans="1:15" x14ac:dyDescent="0.25">
      <c r="A101">
        <v>100</v>
      </c>
      <c r="B101">
        <v>151349270</v>
      </c>
      <c r="C101" t="s">
        <v>124</v>
      </c>
      <c r="D101" t="s">
        <v>113</v>
      </c>
      <c r="E101">
        <v>40.989796554531587</v>
      </c>
      <c r="F101">
        <v>29.27351612621354</v>
      </c>
      <c r="G101">
        <v>3.9</v>
      </c>
      <c r="H101">
        <v>0.33333333333333331</v>
      </c>
      <c r="I101">
        <v>494.5518151902769</v>
      </c>
      <c r="J101">
        <v>32600</v>
      </c>
      <c r="K101">
        <v>0.14430222987936439</v>
      </c>
      <c r="L101">
        <v>0.1025009011830751</v>
      </c>
      <c r="M101">
        <v>0.2169225500781562</v>
      </c>
      <c r="O101">
        <v>0</v>
      </c>
    </row>
    <row r="102" spans="1:15" x14ac:dyDescent="0.25">
      <c r="A102">
        <v>101</v>
      </c>
      <c r="B102">
        <v>151349282</v>
      </c>
      <c r="C102" t="s">
        <v>125</v>
      </c>
      <c r="D102" t="s">
        <v>113</v>
      </c>
      <c r="E102">
        <v>40.998795544713218</v>
      </c>
      <c r="F102">
        <v>29.277802315578441</v>
      </c>
      <c r="G102">
        <v>3.9</v>
      </c>
      <c r="H102">
        <v>0.66666666666666663</v>
      </c>
      <c r="I102">
        <v>1166.3965459428771</v>
      </c>
      <c r="J102">
        <v>32600</v>
      </c>
      <c r="K102">
        <v>0.26144159244629139</v>
      </c>
      <c r="L102">
        <v>0.18899656709178561</v>
      </c>
      <c r="M102">
        <v>0.38747198365870528</v>
      </c>
      <c r="O102">
        <v>0</v>
      </c>
    </row>
    <row r="103" spans="1:15" x14ac:dyDescent="0.25">
      <c r="A103">
        <v>102</v>
      </c>
      <c r="B103">
        <v>151349283</v>
      </c>
      <c r="C103" t="s">
        <v>126</v>
      </c>
      <c r="D103" t="s">
        <v>113</v>
      </c>
      <c r="E103">
        <v>40.99151888725396</v>
      </c>
      <c r="F103">
        <v>29.26045077125254</v>
      </c>
      <c r="G103">
        <v>3.9</v>
      </c>
      <c r="H103">
        <v>0.66666666666666663</v>
      </c>
      <c r="I103">
        <v>633.8354309475709</v>
      </c>
      <c r="J103">
        <v>32600</v>
      </c>
      <c r="K103">
        <v>0.23455851037340411</v>
      </c>
      <c r="L103">
        <v>0.16797867115325871</v>
      </c>
      <c r="M103">
        <v>0.371561691993603</v>
      </c>
      <c r="O103">
        <v>0</v>
      </c>
    </row>
    <row r="104" spans="1:15" x14ac:dyDescent="0.25">
      <c r="A104">
        <v>103</v>
      </c>
      <c r="B104">
        <v>151349279</v>
      </c>
      <c r="C104" t="s">
        <v>127</v>
      </c>
      <c r="D104" t="s">
        <v>113</v>
      </c>
      <c r="E104">
        <v>40.989967225508572</v>
      </c>
      <c r="F104">
        <v>29.26895176772889</v>
      </c>
      <c r="G104">
        <v>3.9</v>
      </c>
      <c r="H104">
        <v>0.66666666666666663</v>
      </c>
      <c r="I104">
        <v>174.23510183468409</v>
      </c>
      <c r="J104">
        <v>32600</v>
      </c>
      <c r="K104">
        <v>0.2206202495213174</v>
      </c>
      <c r="L104">
        <v>0.15795064056944591</v>
      </c>
      <c r="M104">
        <v>0.36138039310086673</v>
      </c>
      <c r="O104">
        <v>0</v>
      </c>
    </row>
    <row r="105" spans="1:15" x14ac:dyDescent="0.25">
      <c r="A105">
        <v>104</v>
      </c>
      <c r="B105">
        <v>151349284</v>
      </c>
      <c r="C105" t="s">
        <v>128</v>
      </c>
      <c r="D105" t="s">
        <v>113</v>
      </c>
      <c r="E105">
        <v>40.994327203584177</v>
      </c>
      <c r="F105">
        <v>29.271331793054159</v>
      </c>
      <c r="G105">
        <v>3.9</v>
      </c>
      <c r="H105">
        <v>0.66666666666666663</v>
      </c>
      <c r="I105">
        <v>432.54308106984558</v>
      </c>
      <c r="J105">
        <v>32600</v>
      </c>
      <c r="K105">
        <v>0.2271430203729819</v>
      </c>
      <c r="L105">
        <v>0.16246462127301589</v>
      </c>
      <c r="M105">
        <v>0.36663092883406628</v>
      </c>
      <c r="O105">
        <v>0</v>
      </c>
    </row>
    <row r="106" spans="1:15" x14ac:dyDescent="0.25">
      <c r="A106">
        <v>105</v>
      </c>
      <c r="B106">
        <v>151349285</v>
      </c>
      <c r="C106" t="s">
        <v>129</v>
      </c>
      <c r="D106" t="s">
        <v>113</v>
      </c>
      <c r="E106">
        <v>41.000664445267027</v>
      </c>
      <c r="F106">
        <v>29.283710646331411</v>
      </c>
      <c r="G106">
        <v>3.9</v>
      </c>
      <c r="H106">
        <v>0.66666666666666663</v>
      </c>
      <c r="I106">
        <v>1472.8005949625031</v>
      </c>
      <c r="J106">
        <v>32600</v>
      </c>
      <c r="K106">
        <v>0.27973036125456358</v>
      </c>
      <c r="L106">
        <v>0.203832992802327</v>
      </c>
      <c r="M106">
        <v>0.39792124131392292</v>
      </c>
      <c r="O106">
        <v>0</v>
      </c>
    </row>
    <row r="107" spans="1:15" x14ac:dyDescent="0.25">
      <c r="A107">
        <v>106</v>
      </c>
      <c r="B107">
        <v>151349276</v>
      </c>
      <c r="C107" t="s">
        <v>130</v>
      </c>
      <c r="D107" t="s">
        <v>113</v>
      </c>
      <c r="E107">
        <v>40.994255992720888</v>
      </c>
      <c r="F107">
        <v>29.27280938279549</v>
      </c>
      <c r="G107">
        <v>3.9</v>
      </c>
      <c r="H107">
        <v>0.66666666666666663</v>
      </c>
      <c r="I107">
        <v>516.40313522370798</v>
      </c>
      <c r="J107">
        <v>32600</v>
      </c>
      <c r="K107">
        <v>0.23000318560737509</v>
      </c>
      <c r="L107">
        <v>0.1645643095046605</v>
      </c>
      <c r="M107">
        <v>0.36860063803669568</v>
      </c>
      <c r="O107">
        <v>0</v>
      </c>
    </row>
    <row r="108" spans="1:15" x14ac:dyDescent="0.25">
      <c r="A108">
        <v>107</v>
      </c>
      <c r="B108">
        <v>151349286</v>
      </c>
      <c r="C108" t="s">
        <v>131</v>
      </c>
      <c r="D108" t="s">
        <v>113</v>
      </c>
      <c r="E108">
        <v>40.997364831454362</v>
      </c>
      <c r="F108">
        <v>29.273986466835279</v>
      </c>
      <c r="G108">
        <v>3.9</v>
      </c>
      <c r="H108">
        <v>1</v>
      </c>
      <c r="I108">
        <v>835.66805944234329</v>
      </c>
      <c r="J108">
        <v>32600</v>
      </c>
      <c r="K108">
        <v>0.31285638498438612</v>
      </c>
      <c r="L108">
        <v>0.22877458085179031</v>
      </c>
      <c r="M108">
        <v>0.48059813050491279</v>
      </c>
      <c r="O108">
        <v>0</v>
      </c>
    </row>
    <row r="109" spans="1:15" x14ac:dyDescent="0.25">
      <c r="A109">
        <v>108</v>
      </c>
      <c r="B109">
        <v>151349287</v>
      </c>
      <c r="C109" t="s">
        <v>132</v>
      </c>
      <c r="D109" t="s">
        <v>113</v>
      </c>
      <c r="E109">
        <v>40.991359652083638</v>
      </c>
      <c r="F109">
        <v>29.26799970752074</v>
      </c>
      <c r="G109">
        <v>3.9</v>
      </c>
      <c r="H109">
        <v>0.66666666666666663</v>
      </c>
      <c r="I109">
        <v>0</v>
      </c>
      <c r="J109">
        <v>32600</v>
      </c>
      <c r="K109">
        <v>0.2183167749959585</v>
      </c>
      <c r="L109">
        <v>0.15668878483536569</v>
      </c>
      <c r="M109">
        <v>0.35857555508909339</v>
      </c>
      <c r="O109">
        <v>0</v>
      </c>
    </row>
    <row r="110" spans="1:15" x14ac:dyDescent="0.25">
      <c r="A110">
        <v>109</v>
      </c>
      <c r="B110">
        <v>151349290</v>
      </c>
      <c r="C110" t="s">
        <v>133</v>
      </c>
      <c r="D110" t="s">
        <v>113</v>
      </c>
      <c r="E110">
        <v>40.991985709305169</v>
      </c>
      <c r="F110">
        <v>29.25990016183826</v>
      </c>
      <c r="G110">
        <v>3.9</v>
      </c>
      <c r="H110">
        <v>0.66666666666666663</v>
      </c>
      <c r="I110">
        <v>683.35385507149317</v>
      </c>
      <c r="J110">
        <v>32600</v>
      </c>
      <c r="K110">
        <v>0.2366577345536999</v>
      </c>
      <c r="L110">
        <v>0.1695733258563471</v>
      </c>
      <c r="M110">
        <v>0.37287765981156512</v>
      </c>
      <c r="O110">
        <v>0</v>
      </c>
    </row>
    <row r="111" spans="1:15" x14ac:dyDescent="0.25">
      <c r="A111">
        <v>111</v>
      </c>
      <c r="B111">
        <v>151349288</v>
      </c>
      <c r="C111" t="s">
        <v>134</v>
      </c>
      <c r="D111" t="s">
        <v>113</v>
      </c>
      <c r="E111">
        <v>40.996089176146633</v>
      </c>
      <c r="F111">
        <v>29.262346140761551</v>
      </c>
      <c r="G111">
        <v>3.9</v>
      </c>
      <c r="H111">
        <v>1</v>
      </c>
      <c r="I111">
        <v>708.31652946689144</v>
      </c>
      <c r="J111">
        <v>32600</v>
      </c>
      <c r="K111">
        <v>0.30894155227091119</v>
      </c>
      <c r="L111">
        <v>0.225763808792282</v>
      </c>
      <c r="M111">
        <v>0.47807431463809308</v>
      </c>
      <c r="O111">
        <v>0</v>
      </c>
    </row>
    <row r="112" spans="1:15" x14ac:dyDescent="0.25">
      <c r="A112">
        <v>112</v>
      </c>
      <c r="B112">
        <v>151349289</v>
      </c>
      <c r="C112" t="s">
        <v>135</v>
      </c>
      <c r="D112" t="s">
        <v>113</v>
      </c>
      <c r="E112">
        <v>40.998895059080951</v>
      </c>
      <c r="F112">
        <v>29.27889296595766</v>
      </c>
      <c r="G112">
        <v>3.9</v>
      </c>
      <c r="H112">
        <v>1</v>
      </c>
      <c r="I112">
        <v>1240.1163212048079</v>
      </c>
      <c r="J112">
        <v>32600</v>
      </c>
      <c r="K112">
        <v>0.32731857651745411</v>
      </c>
      <c r="L112">
        <v>0.24044901243790009</v>
      </c>
      <c r="M112">
        <v>0.48874390872768447</v>
      </c>
      <c r="O112">
        <v>0</v>
      </c>
    </row>
    <row r="113" spans="1:15" x14ac:dyDescent="0.25">
      <c r="A113">
        <v>113</v>
      </c>
      <c r="B113">
        <v>151349245</v>
      </c>
      <c r="C113" t="s">
        <v>136</v>
      </c>
      <c r="D113" t="s">
        <v>137</v>
      </c>
      <c r="E113">
        <v>40.941789594269018</v>
      </c>
      <c r="F113">
        <v>29.276017730175319</v>
      </c>
      <c r="G113">
        <v>17.600000000000001</v>
      </c>
      <c r="H113">
        <v>0.66666666666666663</v>
      </c>
      <c r="I113">
        <v>295.90621195981322</v>
      </c>
      <c r="J113">
        <v>21200</v>
      </c>
      <c r="K113">
        <v>0.46629003786504752</v>
      </c>
      <c r="L113">
        <v>0.46065937890278041</v>
      </c>
      <c r="M113">
        <v>0.52265015509328416</v>
      </c>
      <c r="O113">
        <v>0</v>
      </c>
    </row>
    <row r="114" spans="1:15" x14ac:dyDescent="0.25">
      <c r="A114">
        <v>114</v>
      </c>
      <c r="B114">
        <v>151349329</v>
      </c>
      <c r="C114" t="s">
        <v>138</v>
      </c>
      <c r="D114" t="s">
        <v>137</v>
      </c>
      <c r="E114">
        <v>40.934723027875521</v>
      </c>
      <c r="F114">
        <v>29.272236126804909</v>
      </c>
      <c r="G114">
        <v>17.600000000000001</v>
      </c>
      <c r="H114">
        <v>1</v>
      </c>
      <c r="I114">
        <v>583.1283180956766</v>
      </c>
      <c r="J114">
        <v>21200</v>
      </c>
      <c r="K114">
        <v>0.52035667315655521</v>
      </c>
      <c r="L114">
        <v>0.48888514606373201</v>
      </c>
      <c r="M114">
        <v>0.63056184377675506</v>
      </c>
      <c r="O114">
        <v>0</v>
      </c>
    </row>
    <row r="115" spans="1:15" x14ac:dyDescent="0.25">
      <c r="A115">
        <v>115</v>
      </c>
      <c r="B115">
        <v>151349247</v>
      </c>
      <c r="C115" t="s">
        <v>139</v>
      </c>
      <c r="D115" t="s">
        <v>137</v>
      </c>
      <c r="E115">
        <v>40.939867918452251</v>
      </c>
      <c r="F115">
        <v>29.27358071445466</v>
      </c>
      <c r="G115">
        <v>17.600000000000001</v>
      </c>
      <c r="H115">
        <v>1</v>
      </c>
      <c r="I115">
        <v>0</v>
      </c>
      <c r="J115">
        <v>21200</v>
      </c>
      <c r="K115">
        <v>0.49982375885167218</v>
      </c>
      <c r="L115">
        <v>0.47832491882296568</v>
      </c>
      <c r="M115">
        <v>0.60741475867714545</v>
      </c>
      <c r="O115">
        <v>0</v>
      </c>
    </row>
    <row r="116" spans="1:15" x14ac:dyDescent="0.25">
      <c r="A116">
        <v>116</v>
      </c>
      <c r="B116">
        <v>151349250</v>
      </c>
      <c r="C116" t="s">
        <v>140</v>
      </c>
      <c r="D116" t="s">
        <v>137</v>
      </c>
      <c r="E116">
        <v>40.934544803561643</v>
      </c>
      <c r="F116">
        <v>29.27549202574264</v>
      </c>
      <c r="G116">
        <v>17.600000000000001</v>
      </c>
      <c r="H116">
        <v>0</v>
      </c>
      <c r="I116">
        <v>613.29096844895116</v>
      </c>
      <c r="J116">
        <v>21200</v>
      </c>
      <c r="K116">
        <v>0.39435210267010151</v>
      </c>
      <c r="L116">
        <v>0.42555441146845963</v>
      </c>
      <c r="M116">
        <v>0.30391720603039041</v>
      </c>
      <c r="O116">
        <v>0</v>
      </c>
    </row>
    <row r="117" spans="1:15" x14ac:dyDescent="0.25">
      <c r="A117">
        <v>117</v>
      </c>
      <c r="B117">
        <v>151349248</v>
      </c>
      <c r="C117" t="s">
        <v>141</v>
      </c>
      <c r="D117" t="s">
        <v>137</v>
      </c>
      <c r="E117">
        <v>40.942885971749689</v>
      </c>
      <c r="F117">
        <v>29.281067243716411</v>
      </c>
      <c r="G117">
        <v>17.600000000000001</v>
      </c>
      <c r="H117">
        <v>1</v>
      </c>
      <c r="I117">
        <v>712.77319610297297</v>
      </c>
      <c r="J117">
        <v>21200</v>
      </c>
      <c r="K117">
        <v>0.52505966099307977</v>
      </c>
      <c r="L117">
        <v>0.49134890494420458</v>
      </c>
      <c r="M117">
        <v>0.6353093238270191</v>
      </c>
      <c r="O117">
        <v>0</v>
      </c>
    </row>
    <row r="118" spans="1:15" x14ac:dyDescent="0.25">
      <c r="A118">
        <v>118</v>
      </c>
      <c r="B118">
        <v>151349246</v>
      </c>
      <c r="C118" t="s">
        <v>142</v>
      </c>
      <c r="D118" t="s">
        <v>137</v>
      </c>
      <c r="E118">
        <v>40.940319138733322</v>
      </c>
      <c r="F118">
        <v>29.273160514356452</v>
      </c>
      <c r="G118">
        <v>17.600000000000001</v>
      </c>
      <c r="H118">
        <v>1</v>
      </c>
      <c r="I118">
        <v>61.344272838307077</v>
      </c>
      <c r="J118">
        <v>21200</v>
      </c>
      <c r="K118">
        <v>0.50188490893545967</v>
      </c>
      <c r="L118">
        <v>0.47938079079764923</v>
      </c>
      <c r="M118">
        <v>0.60992628581557617</v>
      </c>
      <c r="O118">
        <v>0</v>
      </c>
    </row>
    <row r="119" spans="1:15" x14ac:dyDescent="0.25">
      <c r="A119">
        <v>119</v>
      </c>
      <c r="B119">
        <v>151349249</v>
      </c>
      <c r="C119" t="s">
        <v>143</v>
      </c>
      <c r="D119" t="s">
        <v>137</v>
      </c>
      <c r="E119">
        <v>40.936266124620197</v>
      </c>
      <c r="F119">
        <v>29.277027938906411</v>
      </c>
      <c r="G119">
        <v>17.600000000000001</v>
      </c>
      <c r="H119">
        <v>0</v>
      </c>
      <c r="I119">
        <v>494.21406650206097</v>
      </c>
      <c r="J119">
        <v>21200</v>
      </c>
      <c r="K119">
        <v>0.39026204548244781</v>
      </c>
      <c r="L119">
        <v>0.42337466145597658</v>
      </c>
      <c r="M119">
        <v>0.30016767651541909</v>
      </c>
      <c r="O119">
        <v>0</v>
      </c>
    </row>
    <row r="120" spans="1:15" x14ac:dyDescent="0.25">
      <c r="A120">
        <v>120</v>
      </c>
      <c r="B120">
        <v>151349190</v>
      </c>
      <c r="C120" t="s">
        <v>144</v>
      </c>
      <c r="D120" t="s">
        <v>137</v>
      </c>
      <c r="E120">
        <v>40.942426400606237</v>
      </c>
      <c r="F120">
        <v>29.26823062915377</v>
      </c>
      <c r="G120">
        <v>17.600000000000001</v>
      </c>
      <c r="H120">
        <v>0</v>
      </c>
      <c r="I120">
        <v>531.86118620975344</v>
      </c>
      <c r="J120">
        <v>21200</v>
      </c>
      <c r="K120">
        <v>0.3915248139561377</v>
      </c>
      <c r="L120">
        <v>0.42405240653210019</v>
      </c>
      <c r="M120">
        <v>0.30130554620985611</v>
      </c>
      <c r="O120">
        <v>0</v>
      </c>
    </row>
    <row r="121" spans="1:15" x14ac:dyDescent="0.25">
      <c r="A121">
        <v>121</v>
      </c>
      <c r="B121">
        <v>151349296</v>
      </c>
      <c r="C121" t="s">
        <v>145</v>
      </c>
      <c r="D121" t="s">
        <v>146</v>
      </c>
      <c r="E121">
        <v>40.940719291729579</v>
      </c>
      <c r="F121">
        <v>29.290917084300659</v>
      </c>
      <c r="G121">
        <v>19.5</v>
      </c>
      <c r="H121">
        <v>1</v>
      </c>
      <c r="I121">
        <v>0</v>
      </c>
      <c r="J121">
        <v>19400</v>
      </c>
      <c r="K121">
        <v>0.53894384329426392</v>
      </c>
      <c r="L121">
        <v>0.52754734085116939</v>
      </c>
      <c r="M121">
        <v>0.63199392062053683</v>
      </c>
      <c r="O121">
        <v>0</v>
      </c>
    </row>
    <row r="122" spans="1:15" x14ac:dyDescent="0.25">
      <c r="A122">
        <v>122</v>
      </c>
      <c r="B122">
        <v>151349297</v>
      </c>
      <c r="C122" t="s">
        <v>147</v>
      </c>
      <c r="D122" t="s">
        <v>146</v>
      </c>
      <c r="E122">
        <v>40.94136204804073</v>
      </c>
      <c r="F122">
        <v>29.287930891654732</v>
      </c>
      <c r="G122">
        <v>19.5</v>
      </c>
      <c r="H122">
        <v>0.66666666666666663</v>
      </c>
      <c r="I122">
        <v>260.80892596065621</v>
      </c>
      <c r="J122">
        <v>19400</v>
      </c>
      <c r="K122">
        <v>0.5099558357254339</v>
      </c>
      <c r="L122">
        <v>0.5130187572758047</v>
      </c>
      <c r="M122">
        <v>0.55015296044656203</v>
      </c>
      <c r="O122">
        <v>0</v>
      </c>
    </row>
    <row r="123" spans="1:15" x14ac:dyDescent="0.25">
      <c r="A123">
        <v>123</v>
      </c>
      <c r="B123">
        <v>151349292</v>
      </c>
      <c r="C123" t="s">
        <v>148</v>
      </c>
      <c r="D123" t="s">
        <v>146</v>
      </c>
      <c r="E123">
        <v>40.940822702605452</v>
      </c>
      <c r="F123">
        <v>29.28994169313448</v>
      </c>
      <c r="G123">
        <v>19.5</v>
      </c>
      <c r="H123">
        <v>0.33333333333333331</v>
      </c>
      <c r="I123">
        <v>82.731218816487214</v>
      </c>
      <c r="J123">
        <v>19400</v>
      </c>
      <c r="K123">
        <v>0.45893451194014712</v>
      </c>
      <c r="L123">
        <v>0.48778340105001611</v>
      </c>
      <c r="M123">
        <v>0.41345550157639732</v>
      </c>
      <c r="O123">
        <v>0</v>
      </c>
    </row>
    <row r="124" spans="1:15" x14ac:dyDescent="0.25">
      <c r="A124">
        <v>124</v>
      </c>
      <c r="B124">
        <v>151349293</v>
      </c>
      <c r="C124" t="s">
        <v>149</v>
      </c>
      <c r="D124" t="s">
        <v>146</v>
      </c>
      <c r="E124">
        <v>40.940467919999449</v>
      </c>
      <c r="F124">
        <v>29.286683690677911</v>
      </c>
      <c r="G124">
        <v>19.5</v>
      </c>
      <c r="H124">
        <v>0.66666666666666663</v>
      </c>
      <c r="I124">
        <v>356.68276249179428</v>
      </c>
      <c r="J124">
        <v>19400</v>
      </c>
      <c r="K124">
        <v>0.51379384546977702</v>
      </c>
      <c r="L124">
        <v>0.51502484008698368</v>
      </c>
      <c r="M124">
        <v>0.55408172270070799</v>
      </c>
      <c r="O124">
        <v>0</v>
      </c>
    </row>
    <row r="125" spans="1:15" x14ac:dyDescent="0.25">
      <c r="A125">
        <v>125</v>
      </c>
      <c r="B125">
        <v>151349298</v>
      </c>
      <c r="C125" t="s">
        <v>150</v>
      </c>
      <c r="D125" t="s">
        <v>146</v>
      </c>
      <c r="E125">
        <v>40.940364887485202</v>
      </c>
      <c r="F125">
        <v>29.290317025461668</v>
      </c>
      <c r="G125">
        <v>19.5</v>
      </c>
      <c r="H125">
        <v>1</v>
      </c>
      <c r="I125">
        <v>63.979488457109717</v>
      </c>
      <c r="J125">
        <v>19400</v>
      </c>
      <c r="K125">
        <v>0.54147261304876493</v>
      </c>
      <c r="L125">
        <v>0.52888786015871803</v>
      </c>
      <c r="M125">
        <v>0.63497003162198395</v>
      </c>
      <c r="O125">
        <v>0</v>
      </c>
    </row>
    <row r="126" spans="1:15" x14ac:dyDescent="0.25">
      <c r="A126">
        <v>126</v>
      </c>
      <c r="B126">
        <v>151349294</v>
      </c>
      <c r="C126" t="s">
        <v>151</v>
      </c>
      <c r="D126" t="s">
        <v>146</v>
      </c>
      <c r="E126">
        <v>40.947006314040301</v>
      </c>
      <c r="F126">
        <v>29.291052191481519</v>
      </c>
      <c r="G126">
        <v>19.5</v>
      </c>
      <c r="H126">
        <v>0.66666666666666663</v>
      </c>
      <c r="I126">
        <v>699.1770798570534</v>
      </c>
      <c r="J126">
        <v>19400</v>
      </c>
      <c r="K126">
        <v>0.52779059248626936</v>
      </c>
      <c r="L126">
        <v>0.52221194819668737</v>
      </c>
      <c r="M126">
        <v>0.56799039981868871</v>
      </c>
      <c r="O126">
        <v>0</v>
      </c>
    </row>
    <row r="127" spans="1:15" x14ac:dyDescent="0.25">
      <c r="A127">
        <v>127</v>
      </c>
      <c r="B127">
        <v>151349295</v>
      </c>
      <c r="C127" t="s">
        <v>152</v>
      </c>
      <c r="D127" t="s">
        <v>146</v>
      </c>
      <c r="E127">
        <v>40.941979572318743</v>
      </c>
      <c r="F127">
        <v>29.28769611603024</v>
      </c>
      <c r="G127">
        <v>19.5</v>
      </c>
      <c r="H127">
        <v>0.66666666666666663</v>
      </c>
      <c r="I127">
        <v>304.6837515518817</v>
      </c>
      <c r="J127">
        <v>19400</v>
      </c>
      <c r="K127">
        <v>0.51170500238175221</v>
      </c>
      <c r="L127">
        <v>0.51393564596825991</v>
      </c>
      <c r="M127">
        <v>0.55194989164835184</v>
      </c>
      <c r="O127">
        <v>0</v>
      </c>
    </row>
    <row r="128" spans="1:15" x14ac:dyDescent="0.25">
      <c r="A128">
        <v>128</v>
      </c>
      <c r="B128">
        <v>151349299</v>
      </c>
      <c r="C128" t="s">
        <v>153</v>
      </c>
      <c r="D128" t="s">
        <v>146</v>
      </c>
      <c r="E128">
        <v>40.941553565944318</v>
      </c>
      <c r="F128">
        <v>29.288716692948441</v>
      </c>
      <c r="G128">
        <v>19.5</v>
      </c>
      <c r="H128">
        <v>0.66666666666666663</v>
      </c>
      <c r="I128">
        <v>206.7962080689847</v>
      </c>
      <c r="J128">
        <v>19400</v>
      </c>
      <c r="K128">
        <v>0.507821578428856</v>
      </c>
      <c r="L128">
        <v>0.51189340638428671</v>
      </c>
      <c r="M128">
        <v>0.54794554207153789</v>
      </c>
      <c r="O128">
        <v>0</v>
      </c>
    </row>
    <row r="129" spans="1:15" x14ac:dyDescent="0.25">
      <c r="A129">
        <v>129</v>
      </c>
      <c r="B129">
        <v>151349304</v>
      </c>
      <c r="C129" t="s">
        <v>154</v>
      </c>
      <c r="D129" t="s">
        <v>155</v>
      </c>
      <c r="E129">
        <v>40.961584195322487</v>
      </c>
      <c r="F129">
        <v>29.285587528409899</v>
      </c>
      <c r="G129">
        <v>6.9</v>
      </c>
      <c r="H129">
        <v>0.66666666666666663</v>
      </c>
      <c r="I129">
        <v>928.65860975343173</v>
      </c>
      <c r="J129">
        <v>16900</v>
      </c>
      <c r="K129">
        <v>0.27422919775259402</v>
      </c>
      <c r="L129">
        <v>0.21071483373952901</v>
      </c>
      <c r="M129">
        <v>0.4022518028738416</v>
      </c>
      <c r="O129">
        <v>0</v>
      </c>
    </row>
    <row r="130" spans="1:15" x14ac:dyDescent="0.25">
      <c r="A130">
        <v>130</v>
      </c>
      <c r="B130">
        <v>151349302</v>
      </c>
      <c r="C130" t="s">
        <v>156</v>
      </c>
      <c r="D130" t="s">
        <v>155</v>
      </c>
      <c r="E130">
        <v>40.970719685912897</v>
      </c>
      <c r="F130">
        <v>29.283687762777241</v>
      </c>
      <c r="G130">
        <v>6.9</v>
      </c>
      <c r="H130">
        <v>0.66666666666666663</v>
      </c>
      <c r="I130">
        <v>818.93285018252891</v>
      </c>
      <c r="J130">
        <v>16900</v>
      </c>
      <c r="K130">
        <v>0.26865076306412872</v>
      </c>
      <c r="L130">
        <v>0.2066998221979636</v>
      </c>
      <c r="M130">
        <v>0.39880582993301622</v>
      </c>
      <c r="O130">
        <v>0</v>
      </c>
    </row>
    <row r="131" spans="1:15" x14ac:dyDescent="0.25">
      <c r="A131">
        <v>131</v>
      </c>
      <c r="B131">
        <v>151349305</v>
      </c>
      <c r="C131" t="s">
        <v>157</v>
      </c>
      <c r="D131" t="s">
        <v>155</v>
      </c>
      <c r="E131">
        <v>40.966578361086263</v>
      </c>
      <c r="F131">
        <v>29.27617532180825</v>
      </c>
      <c r="G131">
        <v>6.9</v>
      </c>
      <c r="H131">
        <v>0</v>
      </c>
      <c r="I131">
        <v>64.344189899389647</v>
      </c>
      <c r="J131">
        <v>16900</v>
      </c>
      <c r="K131">
        <v>9.8990228180840661E-2</v>
      </c>
      <c r="L131">
        <v>0.1061006999458606</v>
      </c>
      <c r="M131">
        <v>7.9083474617583818E-2</v>
      </c>
      <c r="O131">
        <v>0</v>
      </c>
    </row>
    <row r="132" spans="1:15" x14ac:dyDescent="0.25">
      <c r="A132">
        <v>132</v>
      </c>
      <c r="B132">
        <v>151349325</v>
      </c>
      <c r="C132" t="s">
        <v>158</v>
      </c>
      <c r="D132" t="s">
        <v>155</v>
      </c>
      <c r="E132">
        <v>40.967018360289273</v>
      </c>
      <c r="F132">
        <v>29.284259650419081</v>
      </c>
      <c r="G132">
        <v>6.9</v>
      </c>
      <c r="H132">
        <v>0.66666666666666663</v>
      </c>
      <c r="I132">
        <v>686.11718955965932</v>
      </c>
      <c r="J132">
        <v>16900</v>
      </c>
      <c r="K132">
        <v>0.26242976131264961</v>
      </c>
      <c r="L132">
        <v>0.20230431489477499</v>
      </c>
      <c r="M132">
        <v>0.39483303849090529</v>
      </c>
      <c r="O132">
        <v>0</v>
      </c>
    </row>
    <row r="133" spans="1:15" x14ac:dyDescent="0.25">
      <c r="A133">
        <v>133</v>
      </c>
      <c r="B133">
        <v>151349303</v>
      </c>
      <c r="C133" t="s">
        <v>159</v>
      </c>
      <c r="D133" t="s">
        <v>155</v>
      </c>
      <c r="E133">
        <v>40.966149868010312</v>
      </c>
      <c r="F133">
        <v>29.279662048992591</v>
      </c>
      <c r="G133">
        <v>6.9</v>
      </c>
      <c r="H133">
        <v>1</v>
      </c>
      <c r="I133">
        <v>291.1615006677863</v>
      </c>
      <c r="J133">
        <v>16900</v>
      </c>
      <c r="K133">
        <v>0.32367688297672348</v>
      </c>
      <c r="L133">
        <v>0.247885265156434</v>
      </c>
      <c r="M133">
        <v>0.4930982432256244</v>
      </c>
      <c r="O133">
        <v>0</v>
      </c>
    </row>
    <row r="134" spans="1:15" x14ac:dyDescent="0.25">
      <c r="A134">
        <v>134</v>
      </c>
      <c r="B134">
        <v>151349313</v>
      </c>
      <c r="C134" t="s">
        <v>160</v>
      </c>
      <c r="D134" t="s">
        <v>155</v>
      </c>
      <c r="E134">
        <v>40.968940532551308</v>
      </c>
      <c r="F134">
        <v>29.284788715638829</v>
      </c>
      <c r="G134">
        <v>6.9</v>
      </c>
      <c r="H134">
        <v>0</v>
      </c>
      <c r="I134">
        <v>791.78552008007296</v>
      </c>
      <c r="J134">
        <v>16900</v>
      </c>
      <c r="K134">
        <v>0.15064035223148131</v>
      </c>
      <c r="L134">
        <v>0.13407811564701499</v>
      </c>
      <c r="M134">
        <v>0.1336952714284127</v>
      </c>
      <c r="O134">
        <v>0</v>
      </c>
    </row>
    <row r="135" spans="1:15" x14ac:dyDescent="0.25">
      <c r="A135">
        <v>135</v>
      </c>
      <c r="B135">
        <v>151349301</v>
      </c>
      <c r="C135" t="s">
        <v>161</v>
      </c>
      <c r="D135" t="s">
        <v>155</v>
      </c>
      <c r="E135">
        <v>40.962563075439277</v>
      </c>
      <c r="F135">
        <v>29.281399656178071</v>
      </c>
      <c r="G135">
        <v>6.9</v>
      </c>
      <c r="H135">
        <v>0</v>
      </c>
      <c r="I135">
        <v>580.22790504466388</v>
      </c>
      <c r="J135">
        <v>16900</v>
      </c>
      <c r="K135">
        <v>0.13029149774860871</v>
      </c>
      <c r="L135">
        <v>0.12232700955374021</v>
      </c>
      <c r="M135">
        <v>0.1127159534362238</v>
      </c>
      <c r="O135">
        <v>0</v>
      </c>
    </row>
    <row r="136" spans="1:15" x14ac:dyDescent="0.25">
      <c r="A136">
        <v>136</v>
      </c>
      <c r="B136">
        <v>151349324</v>
      </c>
      <c r="C136" t="s">
        <v>162</v>
      </c>
      <c r="D136" t="s">
        <v>163</v>
      </c>
      <c r="E136">
        <v>40.94915772228471</v>
      </c>
      <c r="F136">
        <v>29.270295385247952</v>
      </c>
      <c r="G136">
        <v>17.2</v>
      </c>
      <c r="H136">
        <v>0</v>
      </c>
      <c r="I136">
        <v>574.04546321454723</v>
      </c>
      <c r="J136">
        <v>22100</v>
      </c>
      <c r="K136">
        <v>0.38350865505506088</v>
      </c>
      <c r="L136">
        <v>0.41377872879844818</v>
      </c>
      <c r="M136">
        <v>0.29595338486692307</v>
      </c>
      <c r="O136">
        <v>0</v>
      </c>
    </row>
    <row r="137" spans="1:15" x14ac:dyDescent="0.25">
      <c r="A137">
        <v>137</v>
      </c>
      <c r="B137">
        <v>151349314</v>
      </c>
      <c r="C137" t="s">
        <v>164</v>
      </c>
      <c r="D137" t="s">
        <v>163</v>
      </c>
      <c r="E137">
        <v>40.945116151166992</v>
      </c>
      <c r="F137">
        <v>29.277708330072411</v>
      </c>
      <c r="G137">
        <v>17.2</v>
      </c>
      <c r="H137">
        <v>0</v>
      </c>
      <c r="I137">
        <v>541.37039807481631</v>
      </c>
      <c r="J137">
        <v>22100</v>
      </c>
      <c r="K137">
        <v>0.38237384982600708</v>
      </c>
      <c r="L137">
        <v>0.4131789759621895</v>
      </c>
      <c r="M137">
        <v>0.29489703177491222</v>
      </c>
      <c r="O137">
        <v>0</v>
      </c>
    </row>
    <row r="138" spans="1:15" x14ac:dyDescent="0.25">
      <c r="A138">
        <v>138</v>
      </c>
      <c r="B138">
        <v>151349187</v>
      </c>
      <c r="C138" t="s">
        <v>165</v>
      </c>
      <c r="D138" t="s">
        <v>163</v>
      </c>
      <c r="E138">
        <v>40.944274749915117</v>
      </c>
      <c r="F138">
        <v>29.26663507522861</v>
      </c>
      <c r="G138">
        <v>17.2</v>
      </c>
      <c r="H138">
        <v>0.66666666666666663</v>
      </c>
      <c r="I138">
        <v>761.8791770669751</v>
      </c>
      <c r="J138">
        <v>22100</v>
      </c>
      <c r="K138">
        <v>0.47441375583974732</v>
      </c>
      <c r="L138">
        <v>0.45848242282319568</v>
      </c>
      <c r="M138">
        <v>0.53397583303213758</v>
      </c>
      <c r="O138">
        <v>0</v>
      </c>
    </row>
    <row r="139" spans="1:15" x14ac:dyDescent="0.25">
      <c r="A139">
        <v>139</v>
      </c>
      <c r="B139">
        <v>151349315</v>
      </c>
      <c r="C139" t="s">
        <v>166</v>
      </c>
      <c r="D139" t="s">
        <v>163</v>
      </c>
      <c r="E139">
        <v>40.944746538079627</v>
      </c>
      <c r="F139">
        <v>29.274437881316331</v>
      </c>
      <c r="G139">
        <v>17.2</v>
      </c>
      <c r="H139">
        <v>1</v>
      </c>
      <c r="I139">
        <v>547.23447723630647</v>
      </c>
      <c r="J139">
        <v>22100</v>
      </c>
      <c r="K139">
        <v>0.51052262953039595</v>
      </c>
      <c r="L139">
        <v>0.47771360933709672</v>
      </c>
      <c r="M139">
        <v>0.6236770800091288</v>
      </c>
      <c r="O139">
        <v>0</v>
      </c>
    </row>
    <row r="140" spans="1:15" x14ac:dyDescent="0.25">
      <c r="A140">
        <v>140</v>
      </c>
      <c r="B140">
        <v>151349323</v>
      </c>
      <c r="C140" t="s">
        <v>167</v>
      </c>
      <c r="D140" t="s">
        <v>163</v>
      </c>
      <c r="E140">
        <v>40.952483485802873</v>
      </c>
      <c r="F140">
        <v>29.276722662612311</v>
      </c>
      <c r="G140">
        <v>17.2</v>
      </c>
      <c r="H140">
        <v>0.33333333333333331</v>
      </c>
      <c r="I140">
        <v>282.01479390523588</v>
      </c>
      <c r="J140">
        <v>22100</v>
      </c>
      <c r="K140">
        <v>0.40933840630336449</v>
      </c>
      <c r="L140">
        <v>0.42667006893015058</v>
      </c>
      <c r="M140">
        <v>0.3809020115166194</v>
      </c>
      <c r="O140">
        <v>0</v>
      </c>
    </row>
    <row r="141" spans="1:15" x14ac:dyDescent="0.25">
      <c r="A141">
        <v>141</v>
      </c>
      <c r="B141">
        <v>151349316</v>
      </c>
      <c r="C141" t="s">
        <v>168</v>
      </c>
      <c r="D141" t="s">
        <v>163</v>
      </c>
      <c r="E141">
        <v>40.949959173820368</v>
      </c>
      <c r="F141">
        <v>29.27704768729355</v>
      </c>
      <c r="G141">
        <v>17.2</v>
      </c>
      <c r="H141">
        <v>1</v>
      </c>
      <c r="I141">
        <v>0</v>
      </c>
      <c r="J141">
        <v>22100</v>
      </c>
      <c r="K141">
        <v>0.49179040603337448</v>
      </c>
      <c r="L141">
        <v>0.468107627224366</v>
      </c>
      <c r="M141">
        <v>0.60242317614609564</v>
      </c>
      <c r="O14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0" x14ac:dyDescent="0.25">
      <c r="A1" s="1" t="s">
        <v>0</v>
      </c>
      <c r="B1" s="1" t="s">
        <v>2</v>
      </c>
      <c r="C1" s="1" t="s">
        <v>3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</row>
    <row r="2" spans="1:20" x14ac:dyDescent="0.25">
      <c r="A2">
        <v>1</v>
      </c>
      <c r="B2" t="s">
        <v>14</v>
      </c>
      <c r="C2" t="s">
        <v>15</v>
      </c>
      <c r="D2">
        <v>0.62346114474889092</v>
      </c>
      <c r="E2">
        <v>0.24261366526382011</v>
      </c>
      <c r="F2">
        <v>0.1727080281550557</v>
      </c>
      <c r="G2">
        <v>1.08637360290957E-7</v>
      </c>
      <c r="H2">
        <v>1.3423913280267969E-2</v>
      </c>
      <c r="I2">
        <v>1.3261066270297011E-2</v>
      </c>
      <c r="J2">
        <v>1.3504305908109589E-4</v>
      </c>
      <c r="K2">
        <v>0.74420579228015105</v>
      </c>
      <c r="L2">
        <v>2.6273635612624018E-6</v>
      </c>
      <c r="M2">
        <v>0.30013804935864441</v>
      </c>
      <c r="N2">
        <v>7.2355112357571532E-4</v>
      </c>
      <c r="O2">
        <v>3.1969789339356537E-5</v>
      </c>
      <c r="P2">
        <v>2.3718941628598531E-6</v>
      </c>
      <c r="Q2">
        <v>0</v>
      </c>
      <c r="R2">
        <v>0</v>
      </c>
      <c r="S2">
        <v>2.4382300294268289E-2</v>
      </c>
      <c r="T2">
        <v>2.4745473353584941E-3</v>
      </c>
    </row>
    <row r="3" spans="1:20" x14ac:dyDescent="0.25">
      <c r="A3">
        <v>2</v>
      </c>
      <c r="B3" t="s">
        <v>16</v>
      </c>
      <c r="C3" t="s">
        <v>15</v>
      </c>
      <c r="D3">
        <v>0.73027679408250057</v>
      </c>
      <c r="E3">
        <v>4.2416345268363742E-3</v>
      </c>
      <c r="F3">
        <v>6.2546394099581857E-3</v>
      </c>
      <c r="G3">
        <v>3.4172614516304688E-7</v>
      </c>
      <c r="H3">
        <v>4.0191027022553142E-5</v>
      </c>
      <c r="I3">
        <v>2.3620449661211271E-2</v>
      </c>
      <c r="J3">
        <v>2.8863326584186003E-4</v>
      </c>
      <c r="K3">
        <v>0.30077776196294548</v>
      </c>
      <c r="L3">
        <v>9.3832665850739615E-7</v>
      </c>
      <c r="M3">
        <v>0.38258022880987003</v>
      </c>
      <c r="N3">
        <v>3.6171237403893473E-7</v>
      </c>
      <c r="O3">
        <v>1.8243994416808479E-3</v>
      </c>
      <c r="P3">
        <v>3.3306715060723953E-5</v>
      </c>
      <c r="Q3">
        <v>0</v>
      </c>
      <c r="R3">
        <v>0</v>
      </c>
      <c r="S3">
        <v>2.595946911048043E-3</v>
      </c>
      <c r="T3">
        <v>2.348209318958688E-2</v>
      </c>
    </row>
    <row r="4" spans="1:20" x14ac:dyDescent="0.25">
      <c r="A4">
        <v>3</v>
      </c>
      <c r="B4" t="s">
        <v>17</v>
      </c>
      <c r="C4" t="s">
        <v>15</v>
      </c>
      <c r="D4">
        <v>0.73118497652862502</v>
      </c>
      <c r="E4">
        <v>3.6325027256152859E-3</v>
      </c>
      <c r="F4">
        <v>2.519220926163895E-2</v>
      </c>
      <c r="G4">
        <v>3.0483506004252278E-5</v>
      </c>
      <c r="H4">
        <v>1.6026068245703461E-4</v>
      </c>
      <c r="I4">
        <v>0.18964565524246671</v>
      </c>
      <c r="J4">
        <v>7.4402086052537527E-3</v>
      </c>
      <c r="K4">
        <v>0.13367083449619729</v>
      </c>
      <c r="L4">
        <v>7.5204292658339274E-5</v>
      </c>
      <c r="M4">
        <v>0.84325848595864095</v>
      </c>
      <c r="N4">
        <v>6.6293498141155201E-7</v>
      </c>
      <c r="O4">
        <v>1.4962288369000839E-2</v>
      </c>
      <c r="P4">
        <v>1.042826323270586E-3</v>
      </c>
      <c r="Q4">
        <v>0</v>
      </c>
      <c r="R4">
        <v>0</v>
      </c>
      <c r="S4">
        <v>2.7883105483534301E-2</v>
      </c>
      <c r="T4">
        <v>0.15479131855400391</v>
      </c>
    </row>
    <row r="5" spans="1:20" x14ac:dyDescent="0.25">
      <c r="A5">
        <v>4</v>
      </c>
      <c r="B5" t="s">
        <v>18</v>
      </c>
      <c r="C5" t="s">
        <v>15</v>
      </c>
      <c r="D5">
        <v>0.75369776199776406</v>
      </c>
      <c r="E5">
        <v>7.6851116704168249E-2</v>
      </c>
      <c r="F5">
        <v>0.25430076270741198</v>
      </c>
      <c r="G5">
        <v>8.1945767056406194E-6</v>
      </c>
      <c r="H5">
        <v>9.5901433414139446E-3</v>
      </c>
      <c r="I5">
        <v>0.1077732038691402</v>
      </c>
      <c r="J5">
        <v>3.1444249679688191E-3</v>
      </c>
      <c r="K5">
        <v>0.33044144922110902</v>
      </c>
      <c r="L5">
        <v>9.6903616933092967E-5</v>
      </c>
      <c r="M5">
        <v>0.73136164071583099</v>
      </c>
      <c r="N5">
        <v>1.5887885627953059E-4</v>
      </c>
      <c r="O5">
        <v>7.1481063357212171E-4</v>
      </c>
      <c r="P5">
        <v>1.119282498294507E-4</v>
      </c>
      <c r="Q5">
        <v>0</v>
      </c>
      <c r="R5">
        <v>0</v>
      </c>
      <c r="S5">
        <v>0.1134172121203947</v>
      </c>
      <c r="T5">
        <v>2.7431136603775341E-2</v>
      </c>
    </row>
    <row r="6" spans="1:20" x14ac:dyDescent="0.25">
      <c r="A6">
        <v>5</v>
      </c>
      <c r="B6" t="s">
        <v>19</v>
      </c>
      <c r="C6" t="s">
        <v>15</v>
      </c>
      <c r="D6">
        <v>0.97517204658120471</v>
      </c>
      <c r="E6">
        <v>3.5086663918642458E-2</v>
      </c>
      <c r="F6">
        <v>4.4394386859420709E-2</v>
      </c>
      <c r="G6">
        <v>4.7877934776401601E-7</v>
      </c>
      <c r="H6">
        <v>8.4852679196334489E-4</v>
      </c>
      <c r="I6">
        <v>3.2805961555159198E-2</v>
      </c>
      <c r="J6">
        <v>4.1934223437540289E-4</v>
      </c>
      <c r="K6">
        <v>0.58663464236536855</v>
      </c>
      <c r="L6">
        <v>3.3682839007502929E-6</v>
      </c>
      <c r="M6">
        <v>0.5356900450629809</v>
      </c>
      <c r="N6">
        <v>1.5382550718011219E-5</v>
      </c>
      <c r="O6">
        <v>5.5684022186770852E-4</v>
      </c>
      <c r="P6">
        <v>2.167394573460339E-5</v>
      </c>
      <c r="Q6">
        <v>0</v>
      </c>
      <c r="R6">
        <v>0</v>
      </c>
      <c r="S6">
        <v>1.2764782144125519E-2</v>
      </c>
      <c r="T6">
        <v>1.5354287641542791E-2</v>
      </c>
    </row>
    <row r="7" spans="1:20" x14ac:dyDescent="0.25">
      <c r="A7">
        <v>6</v>
      </c>
      <c r="B7" t="s">
        <v>20</v>
      </c>
      <c r="C7" t="s">
        <v>15</v>
      </c>
      <c r="D7">
        <v>0.76092204053024792</v>
      </c>
      <c r="E7">
        <v>0.12886031611219581</v>
      </c>
      <c r="F7">
        <v>7.7831698772156302E-2</v>
      </c>
      <c r="G7">
        <v>6.5359788886323083E-8</v>
      </c>
      <c r="H7">
        <v>3.6326696457170018E-3</v>
      </c>
      <c r="I7">
        <v>1.156629556455219E-2</v>
      </c>
      <c r="J7">
        <v>9.6525319166701032E-5</v>
      </c>
      <c r="K7">
        <v>0.86063325294542636</v>
      </c>
      <c r="L7">
        <v>1.0332286830910661E-6</v>
      </c>
      <c r="M7">
        <v>0.31762478298534602</v>
      </c>
      <c r="N7">
        <v>1.5870340897432931E-4</v>
      </c>
      <c r="O7">
        <v>5.6592873898652068E-5</v>
      </c>
      <c r="P7">
        <v>2.39926180081532E-6</v>
      </c>
      <c r="Q7">
        <v>0</v>
      </c>
      <c r="R7">
        <v>0</v>
      </c>
      <c r="S7">
        <v>1.1239616792462321E-2</v>
      </c>
      <c r="T7">
        <v>3.1674576279925042E-3</v>
      </c>
    </row>
    <row r="8" spans="1:20" x14ac:dyDescent="0.25">
      <c r="A8">
        <v>7</v>
      </c>
      <c r="B8" t="s">
        <v>21</v>
      </c>
      <c r="C8" t="s">
        <v>15</v>
      </c>
      <c r="D8">
        <v>0.67976315779226482</v>
      </c>
      <c r="E8">
        <v>2.0079077931032842E-3</v>
      </c>
      <c r="F8">
        <v>1.0208722442564169E-2</v>
      </c>
      <c r="G8">
        <v>9.9143618471397152E-6</v>
      </c>
      <c r="H8">
        <v>4.6689481316677229E-5</v>
      </c>
      <c r="I8">
        <v>0.1077748458081649</v>
      </c>
      <c r="J8">
        <v>3.1867204337286438E-3</v>
      </c>
      <c r="K8">
        <v>0.1335299403409764</v>
      </c>
      <c r="L8">
        <v>1.881942838679844E-5</v>
      </c>
      <c r="M8">
        <v>0.64411271088282251</v>
      </c>
      <c r="N8">
        <v>1.8664681678283011E-7</v>
      </c>
      <c r="O8">
        <v>1.3429321252315499E-2</v>
      </c>
      <c r="P8">
        <v>5.4554432787583165E-4</v>
      </c>
      <c r="Q8">
        <v>0</v>
      </c>
      <c r="R8">
        <v>0</v>
      </c>
      <c r="S8">
        <v>1.007816072232536E-2</v>
      </c>
      <c r="T8">
        <v>0.11582858714064689</v>
      </c>
    </row>
    <row r="9" spans="1:20" x14ac:dyDescent="0.25">
      <c r="A9">
        <v>8</v>
      </c>
      <c r="B9" t="s">
        <v>22</v>
      </c>
      <c r="C9" t="s">
        <v>23</v>
      </c>
      <c r="D9">
        <v>2.542112662682566E-3</v>
      </c>
      <c r="E9">
        <v>0.72077405941724115</v>
      </c>
      <c r="F9">
        <v>6.9889117986253704E-2</v>
      </c>
      <c r="G9">
        <v>7.7752185694756061E-12</v>
      </c>
      <c r="H9">
        <v>0.25823319205856088</v>
      </c>
      <c r="I9">
        <v>8.8111559379306988E-6</v>
      </c>
      <c r="J9">
        <v>3.5217116570512491E-8</v>
      </c>
      <c r="K9">
        <v>2.479954044921184E-2</v>
      </c>
      <c r="L9">
        <v>5.7780499933051946E-9</v>
      </c>
      <c r="M9">
        <v>6.9018856379984752E-4</v>
      </c>
      <c r="N9">
        <v>0.3428191903706479</v>
      </c>
      <c r="O9">
        <v>9.8425678533131297E-11</v>
      </c>
      <c r="P9">
        <v>3.0165160754159281E-11</v>
      </c>
      <c r="Q9">
        <v>0</v>
      </c>
      <c r="R9">
        <v>0</v>
      </c>
      <c r="S9">
        <v>1.0744639323820621E-3</v>
      </c>
      <c r="T9">
        <v>1.3808407538145151E-7</v>
      </c>
    </row>
    <row r="10" spans="1:20" x14ac:dyDescent="0.25">
      <c r="A10">
        <v>9</v>
      </c>
      <c r="B10" t="s">
        <v>24</v>
      </c>
      <c r="C10" t="s">
        <v>23</v>
      </c>
      <c r="D10">
        <v>0.17893699598965909</v>
      </c>
      <c r="E10">
        <v>0.72811798162430863</v>
      </c>
      <c r="F10">
        <v>0.25214824327032609</v>
      </c>
      <c r="G10">
        <v>7.1635182869142699E-9</v>
      </c>
      <c r="H10">
        <v>7.7481755968628357E-2</v>
      </c>
      <c r="I10">
        <v>1.9660632144344959E-3</v>
      </c>
      <c r="J10">
        <v>1.4233898344077571E-5</v>
      </c>
      <c r="K10">
        <v>0.45377651598731938</v>
      </c>
      <c r="L10">
        <v>5.8679543486760515E-7</v>
      </c>
      <c r="M10">
        <v>6.9862581083490971E-2</v>
      </c>
      <c r="N10">
        <v>1.3136409241454089E-2</v>
      </c>
      <c r="O10">
        <v>6.9963030140040323E-7</v>
      </c>
      <c r="P10">
        <v>8.5189127300996685E-8</v>
      </c>
      <c r="Q10">
        <v>0</v>
      </c>
      <c r="R10">
        <v>0</v>
      </c>
      <c r="S10">
        <v>1.60555280632192E-2</v>
      </c>
      <c r="T10">
        <v>1.5211952716605209E-4</v>
      </c>
    </row>
    <row r="11" spans="1:20" x14ac:dyDescent="0.25">
      <c r="A11">
        <v>10</v>
      </c>
      <c r="B11" t="s">
        <v>25</v>
      </c>
      <c r="C11" t="s">
        <v>23</v>
      </c>
      <c r="D11">
        <v>8.7992059201545347E-2</v>
      </c>
      <c r="E11">
        <v>0.89686682244546856</v>
      </c>
      <c r="F11">
        <v>0.28572035835681292</v>
      </c>
      <c r="G11">
        <v>3.5422255620813392E-9</v>
      </c>
      <c r="H11">
        <v>0.15194929979770119</v>
      </c>
      <c r="I11">
        <v>9.7763861533601442E-4</v>
      </c>
      <c r="J11">
        <v>7.2051501857873164E-6</v>
      </c>
      <c r="K11">
        <v>0.2709138753030132</v>
      </c>
      <c r="L11">
        <v>4.6603089662698778E-7</v>
      </c>
      <c r="M11">
        <v>3.5069488580404332E-2</v>
      </c>
      <c r="N11">
        <v>3.6761954555030223E-2</v>
      </c>
      <c r="O11">
        <v>1.6229768453479559E-7</v>
      </c>
      <c r="P11">
        <v>2.8763827450184972E-8</v>
      </c>
      <c r="Q11">
        <v>0</v>
      </c>
      <c r="R11">
        <v>0</v>
      </c>
      <c r="S11">
        <v>1.5063858137577961E-2</v>
      </c>
      <c r="T11">
        <v>5.1820933697676123E-5</v>
      </c>
    </row>
    <row r="12" spans="1:20" x14ac:dyDescent="0.25">
      <c r="A12">
        <v>11</v>
      </c>
      <c r="B12" t="s">
        <v>26</v>
      </c>
      <c r="C12" t="s">
        <v>23</v>
      </c>
      <c r="D12">
        <v>8.0661590494517602E-3</v>
      </c>
      <c r="E12">
        <v>0.90160006720934449</v>
      </c>
      <c r="F12">
        <v>0.1112031239481923</v>
      </c>
      <c r="G12">
        <v>3.8733246812232281E-11</v>
      </c>
      <c r="H12">
        <v>0.23763711650488409</v>
      </c>
      <c r="I12">
        <v>3.4168988436664327E-5</v>
      </c>
      <c r="J12">
        <v>1.5106415771112939E-7</v>
      </c>
      <c r="K12">
        <v>5.9716889494384973E-2</v>
      </c>
      <c r="L12">
        <v>1.77575209172861E-8</v>
      </c>
      <c r="M12">
        <v>2.3247825151757888E-3</v>
      </c>
      <c r="N12">
        <v>0.2045337373027869</v>
      </c>
      <c r="O12">
        <v>8.177062663812274E-10</v>
      </c>
      <c r="P12">
        <v>1.9757317502033939E-10</v>
      </c>
      <c r="Q12">
        <v>0</v>
      </c>
      <c r="R12">
        <v>0</v>
      </c>
      <c r="S12">
        <v>2.2798235237370648E-3</v>
      </c>
      <c r="T12">
        <v>7.6507741176531809E-7</v>
      </c>
    </row>
    <row r="13" spans="1:20" x14ac:dyDescent="0.25">
      <c r="A13">
        <v>12</v>
      </c>
      <c r="B13" t="s">
        <v>27</v>
      </c>
      <c r="C13" t="s">
        <v>23</v>
      </c>
      <c r="D13">
        <v>3.8142489232304247E-2</v>
      </c>
      <c r="E13">
        <v>0.99347910865753586</v>
      </c>
      <c r="F13">
        <v>0.20783048582107019</v>
      </c>
      <c r="G13">
        <v>5.7860956086873748E-10</v>
      </c>
      <c r="H13">
        <v>0.19009017997180649</v>
      </c>
      <c r="I13">
        <v>2.7181433902489398E-4</v>
      </c>
      <c r="J13">
        <v>1.579863500730537E-6</v>
      </c>
      <c r="K13">
        <v>0.1697663949518359</v>
      </c>
      <c r="L13">
        <v>1.242485839174098E-7</v>
      </c>
      <c r="M13">
        <v>1.305529070395587E-2</v>
      </c>
      <c r="N13">
        <v>7.7356164433164717E-2</v>
      </c>
      <c r="O13">
        <v>2.120128862816162E-8</v>
      </c>
      <c r="P13">
        <v>4.0571537544346482E-9</v>
      </c>
      <c r="Q13">
        <v>0</v>
      </c>
      <c r="R13">
        <v>0</v>
      </c>
      <c r="S13">
        <v>7.3430816320128774E-3</v>
      </c>
      <c r="T13">
        <v>1.0365603464516361E-5</v>
      </c>
    </row>
    <row r="14" spans="1:20" x14ac:dyDescent="0.25">
      <c r="A14">
        <v>13</v>
      </c>
      <c r="B14" t="s">
        <v>28</v>
      </c>
      <c r="C14" t="s">
        <v>23</v>
      </c>
      <c r="D14">
        <v>2.0495587647795101E-2</v>
      </c>
      <c r="E14">
        <v>0.98024629557393805</v>
      </c>
      <c r="F14">
        <v>0.11793192075669</v>
      </c>
      <c r="G14">
        <v>7.2633749549335218E-11</v>
      </c>
      <c r="H14">
        <v>0.15093683921819681</v>
      </c>
      <c r="I14">
        <v>7.4810880637069747E-5</v>
      </c>
      <c r="J14">
        <v>3.0099471501908678E-7</v>
      </c>
      <c r="K14">
        <v>0.13357160996168169</v>
      </c>
      <c r="L14">
        <v>2.1525817763476679E-8</v>
      </c>
      <c r="M14">
        <v>5.4981304685515374E-3</v>
      </c>
      <c r="N14">
        <v>9.8081873327833954E-2</v>
      </c>
      <c r="O14">
        <v>3.649211365925447E-9</v>
      </c>
      <c r="P14">
        <v>5.6764665573786122E-10</v>
      </c>
      <c r="Q14">
        <v>0</v>
      </c>
      <c r="R14">
        <v>0</v>
      </c>
      <c r="S14">
        <v>2.7026823126236259E-3</v>
      </c>
      <c r="T14">
        <v>2.4179739639192311E-6</v>
      </c>
    </row>
    <row r="15" spans="1:20" x14ac:dyDescent="0.25">
      <c r="A15">
        <v>14</v>
      </c>
      <c r="B15" t="s">
        <v>29</v>
      </c>
      <c r="C15" t="s">
        <v>23</v>
      </c>
      <c r="D15">
        <v>1.989840198259054E-2</v>
      </c>
      <c r="E15">
        <v>0.95144516848948146</v>
      </c>
      <c r="F15">
        <v>9.1442693717780341E-2</v>
      </c>
      <c r="G15">
        <v>3.6539393729790509E-11</v>
      </c>
      <c r="H15">
        <v>0.115598278756935</v>
      </c>
      <c r="I15">
        <v>5.3534104243530853E-5</v>
      </c>
      <c r="J15">
        <v>1.8149366272231199E-7</v>
      </c>
      <c r="K15">
        <v>0.14534337234696659</v>
      </c>
      <c r="L15">
        <v>1.086942535338264E-8</v>
      </c>
      <c r="M15">
        <v>4.7530636862148793E-3</v>
      </c>
      <c r="N15">
        <v>8.3422073904470456E-2</v>
      </c>
      <c r="O15">
        <v>2.6537252801666758E-9</v>
      </c>
      <c r="P15">
        <v>3.3608386281716042E-10</v>
      </c>
      <c r="Q15">
        <v>0</v>
      </c>
      <c r="R15">
        <v>0</v>
      </c>
      <c r="S15">
        <v>1.823938870935042E-3</v>
      </c>
      <c r="T15">
        <v>1.798019401223652E-6</v>
      </c>
    </row>
    <row r="16" spans="1:20" x14ac:dyDescent="0.25">
      <c r="A16">
        <v>15</v>
      </c>
      <c r="B16" t="s">
        <v>30</v>
      </c>
      <c r="C16" t="s">
        <v>23</v>
      </c>
      <c r="D16">
        <v>4.59682633093755E-2</v>
      </c>
      <c r="E16">
        <v>0.93817472241350142</v>
      </c>
      <c r="F16">
        <v>0.1171939772770131</v>
      </c>
      <c r="G16">
        <v>1.4424546265001049E-10</v>
      </c>
      <c r="H16">
        <v>8.9991225419463194E-2</v>
      </c>
      <c r="I16">
        <v>1.573243914590749E-4</v>
      </c>
      <c r="J16">
        <v>6.0399745419312906E-7</v>
      </c>
      <c r="K16">
        <v>0.2553636027268768</v>
      </c>
      <c r="L16">
        <v>2.7565967067959091E-8</v>
      </c>
      <c r="M16">
        <v>1.185192166971585E-2</v>
      </c>
      <c r="N16">
        <v>4.2840298048583123E-2</v>
      </c>
      <c r="O16">
        <v>1.5608627953266649E-8</v>
      </c>
      <c r="P16">
        <v>1.652864704230465E-9</v>
      </c>
      <c r="Q16">
        <v>0</v>
      </c>
      <c r="R16">
        <v>0</v>
      </c>
      <c r="S16">
        <v>3.1217939737650381E-3</v>
      </c>
      <c r="T16">
        <v>7.2706477572335437E-6</v>
      </c>
    </row>
    <row r="17" spans="1:20" x14ac:dyDescent="0.25">
      <c r="A17">
        <v>16</v>
      </c>
      <c r="B17" t="s">
        <v>31</v>
      </c>
      <c r="C17" t="s">
        <v>23</v>
      </c>
      <c r="D17">
        <v>2.6458281778034491E-2</v>
      </c>
      <c r="E17">
        <v>0.90832355607587811</v>
      </c>
      <c r="F17">
        <v>0.32054564444880701</v>
      </c>
      <c r="G17">
        <v>1.9996788142525559E-9</v>
      </c>
      <c r="H17">
        <v>0.3562075407340945</v>
      </c>
      <c r="I17">
        <v>3.9824898740955318E-4</v>
      </c>
      <c r="J17">
        <v>3.534017298246486E-6</v>
      </c>
      <c r="K17">
        <v>9.4503560729283773E-2</v>
      </c>
      <c r="L17">
        <v>4.9051376058852924E-7</v>
      </c>
      <c r="M17">
        <v>1.2094708203911401E-2</v>
      </c>
      <c r="N17">
        <v>0.1248730294058516</v>
      </c>
      <c r="O17">
        <v>2.3758666527400598E-8</v>
      </c>
      <c r="P17">
        <v>8.4034524709744965E-9</v>
      </c>
      <c r="Q17">
        <v>0</v>
      </c>
      <c r="R17">
        <v>0</v>
      </c>
      <c r="S17">
        <v>1.501750607282875E-2</v>
      </c>
      <c r="T17">
        <v>1.234513311479752E-5</v>
      </c>
    </row>
    <row r="18" spans="1:20" x14ac:dyDescent="0.25">
      <c r="A18">
        <v>17</v>
      </c>
      <c r="B18" t="s">
        <v>32</v>
      </c>
      <c r="C18" t="s">
        <v>33</v>
      </c>
      <c r="D18">
        <v>4.6426014153879867E-3</v>
      </c>
      <c r="E18">
        <v>3.9000547816105201E-2</v>
      </c>
      <c r="F18">
        <v>0.64531817055957785</v>
      </c>
      <c r="G18">
        <v>1.8644610664554561E-5</v>
      </c>
      <c r="H18">
        <v>0.378531088627791</v>
      </c>
      <c r="I18">
        <v>1.074679749431446E-2</v>
      </c>
      <c r="J18">
        <v>1.581663069434357E-3</v>
      </c>
      <c r="K18">
        <v>1.8616330308475111E-3</v>
      </c>
      <c r="L18">
        <v>2.0746089525220911E-3</v>
      </c>
      <c r="M18">
        <v>1.405302642558107E-2</v>
      </c>
      <c r="N18">
        <v>1.352830414247733E-2</v>
      </c>
      <c r="O18">
        <v>1.5860714114761249E-6</v>
      </c>
      <c r="P18">
        <v>9.4862272692998679E-6</v>
      </c>
      <c r="Q18">
        <v>0</v>
      </c>
      <c r="R18">
        <v>0</v>
      </c>
      <c r="S18">
        <v>0.4029654614036256</v>
      </c>
      <c r="T18">
        <v>3.1548877013190551E-4</v>
      </c>
    </row>
    <row r="19" spans="1:20" x14ac:dyDescent="0.25">
      <c r="A19">
        <v>18</v>
      </c>
      <c r="B19" t="s">
        <v>34</v>
      </c>
      <c r="C19" t="s">
        <v>33</v>
      </c>
      <c r="D19">
        <v>0.19352677984899971</v>
      </c>
      <c r="E19">
        <v>0.4492683539166013</v>
      </c>
      <c r="F19">
        <v>0.67863336337107516</v>
      </c>
      <c r="G19">
        <v>4.9590116386494904E-7</v>
      </c>
      <c r="H19">
        <v>0.16110613172109739</v>
      </c>
      <c r="I19">
        <v>1.457040786151839E-2</v>
      </c>
      <c r="J19">
        <v>3.0849160479638039E-4</v>
      </c>
      <c r="K19">
        <v>0.21169819250288671</v>
      </c>
      <c r="L19">
        <v>2.9671858608311729E-5</v>
      </c>
      <c r="M19">
        <v>0.1555532924874064</v>
      </c>
      <c r="N19">
        <v>1.130971994308696E-2</v>
      </c>
      <c r="O19">
        <v>7.4721971151743008E-6</v>
      </c>
      <c r="P19">
        <v>2.6565382558083221E-6</v>
      </c>
      <c r="Q19">
        <v>0</v>
      </c>
      <c r="R19">
        <v>0</v>
      </c>
      <c r="S19">
        <v>0.1168473133689857</v>
      </c>
      <c r="T19">
        <v>1.1147043324650069E-3</v>
      </c>
    </row>
    <row r="20" spans="1:20" x14ac:dyDescent="0.25">
      <c r="A20">
        <v>19</v>
      </c>
      <c r="B20" t="s">
        <v>35</v>
      </c>
      <c r="C20" t="s">
        <v>33</v>
      </c>
      <c r="D20">
        <v>2.4126776648217611E-2</v>
      </c>
      <c r="E20">
        <v>9.0502668246742968E-2</v>
      </c>
      <c r="F20">
        <v>0.9234982369600967</v>
      </c>
      <c r="G20">
        <v>1.8901552246160759E-5</v>
      </c>
      <c r="H20">
        <v>0.32469521049983741</v>
      </c>
      <c r="I20">
        <v>2.5965613366472871E-2</v>
      </c>
      <c r="J20">
        <v>2.4611565334879959E-3</v>
      </c>
      <c r="K20">
        <v>1.0825763528918699E-2</v>
      </c>
      <c r="L20">
        <v>1.4007605112796009E-3</v>
      </c>
      <c r="M20">
        <v>5.3796150864404257E-2</v>
      </c>
      <c r="N20">
        <v>1.1015189805747731E-2</v>
      </c>
      <c r="O20">
        <v>7.7856730955040509E-6</v>
      </c>
      <c r="P20">
        <v>2.0125512737614182E-5</v>
      </c>
      <c r="Q20">
        <v>0</v>
      </c>
      <c r="R20">
        <v>0</v>
      </c>
      <c r="S20">
        <v>0.48238568859859421</v>
      </c>
      <c r="T20">
        <v>1.1682940548005619E-3</v>
      </c>
    </row>
    <row r="21" spans="1:20" x14ac:dyDescent="0.25">
      <c r="A21">
        <v>20</v>
      </c>
      <c r="B21" t="s">
        <v>36</v>
      </c>
      <c r="C21" t="s">
        <v>33</v>
      </c>
      <c r="D21">
        <v>7.0822405229976773E-3</v>
      </c>
      <c r="E21">
        <v>3.7652324858222792E-2</v>
      </c>
      <c r="F21">
        <v>0.6954723575640479</v>
      </c>
      <c r="G21">
        <v>3.4656777517240927E-5</v>
      </c>
      <c r="H21">
        <v>0.31155505302166059</v>
      </c>
      <c r="I21">
        <v>1.7891978807041721E-2</v>
      </c>
      <c r="J21">
        <v>2.7498018280334101E-3</v>
      </c>
      <c r="K21">
        <v>2.4901661800319709E-3</v>
      </c>
      <c r="L21">
        <v>3.0418148042945471E-3</v>
      </c>
      <c r="M21">
        <v>2.1982850500137339E-2</v>
      </c>
      <c r="N21">
        <v>9.0332967943515963E-3</v>
      </c>
      <c r="O21">
        <v>3.8422317882256453E-6</v>
      </c>
      <c r="P21">
        <v>2.029231769860494E-5</v>
      </c>
      <c r="Q21">
        <v>0</v>
      </c>
      <c r="R21">
        <v>0</v>
      </c>
      <c r="S21">
        <v>0.49773907482806101</v>
      </c>
      <c r="T21">
        <v>6.268083616103149E-4</v>
      </c>
    </row>
    <row r="22" spans="1:20" x14ac:dyDescent="0.25">
      <c r="A22">
        <v>21</v>
      </c>
      <c r="B22" t="s">
        <v>37</v>
      </c>
      <c r="C22" t="s">
        <v>33</v>
      </c>
      <c r="D22">
        <v>5.8757154469094373E-2</v>
      </c>
      <c r="E22">
        <v>0.13233371230856</v>
      </c>
      <c r="F22">
        <v>0.98908675879605634</v>
      </c>
      <c r="G22">
        <v>1.610553202888642E-5</v>
      </c>
      <c r="H22">
        <v>0.25147476666045732</v>
      </c>
      <c r="I22">
        <v>3.8660317608239091E-2</v>
      </c>
      <c r="J22">
        <v>2.7623466395490402E-3</v>
      </c>
      <c r="K22">
        <v>2.838727649186143E-2</v>
      </c>
      <c r="L22">
        <v>9.2298226138410439E-4</v>
      </c>
      <c r="M22">
        <v>0.1076669082478199</v>
      </c>
      <c r="N22">
        <v>8.2757370029197998E-3</v>
      </c>
      <c r="O22">
        <v>1.816030131942644E-5</v>
      </c>
      <c r="P22">
        <v>2.7471084723548881E-5</v>
      </c>
      <c r="Q22">
        <v>0</v>
      </c>
      <c r="R22">
        <v>0</v>
      </c>
      <c r="S22">
        <v>0.45989699576741833</v>
      </c>
      <c r="T22">
        <v>2.2812130272740721E-3</v>
      </c>
    </row>
    <row r="23" spans="1:20" x14ac:dyDescent="0.25">
      <c r="A23">
        <v>22</v>
      </c>
      <c r="B23" t="s">
        <v>38</v>
      </c>
      <c r="C23" t="s">
        <v>33</v>
      </c>
      <c r="D23">
        <v>3.3647901664448303E-2</v>
      </c>
      <c r="E23">
        <v>0.13293643368636909</v>
      </c>
      <c r="F23">
        <v>0.97535627828552685</v>
      </c>
      <c r="G23">
        <v>1.0179541201689949E-5</v>
      </c>
      <c r="H23">
        <v>0.34752858541189058</v>
      </c>
      <c r="I23">
        <v>2.329837273901238E-2</v>
      </c>
      <c r="J23">
        <v>1.725249393624206E-3</v>
      </c>
      <c r="K23">
        <v>1.8005412858688841E-2</v>
      </c>
      <c r="L23">
        <v>7.7920204388137542E-4</v>
      </c>
      <c r="M23">
        <v>6.3497440524466889E-2</v>
      </c>
      <c r="N23">
        <v>1.400270448498177E-2</v>
      </c>
      <c r="O23">
        <v>6.8471463042234154E-6</v>
      </c>
      <c r="P23">
        <v>1.3426803297541249E-5</v>
      </c>
      <c r="Q23">
        <v>0</v>
      </c>
      <c r="R23">
        <v>0</v>
      </c>
      <c r="S23">
        <v>0.4122495995966729</v>
      </c>
      <c r="T23">
        <v>1.0846242303115721E-3</v>
      </c>
    </row>
    <row r="24" spans="1:20" x14ac:dyDescent="0.25">
      <c r="A24">
        <v>23</v>
      </c>
      <c r="B24" t="s">
        <v>39</v>
      </c>
      <c r="C24" t="s">
        <v>33</v>
      </c>
      <c r="D24">
        <v>4.7255992149806997E-2</v>
      </c>
      <c r="E24">
        <v>0.17322674226145179</v>
      </c>
      <c r="F24">
        <v>0.99688273668854377</v>
      </c>
      <c r="G24">
        <v>6.8797529933526721E-6</v>
      </c>
      <c r="H24">
        <v>0.33508289093927363</v>
      </c>
      <c r="I24">
        <v>2.3287682718317541E-2</v>
      </c>
      <c r="J24">
        <v>1.4234640461230641E-3</v>
      </c>
      <c r="K24">
        <v>2.8256344385006241E-2</v>
      </c>
      <c r="L24">
        <v>5.0883631456254889E-4</v>
      </c>
      <c r="M24">
        <v>7.8251824424672142E-2</v>
      </c>
      <c r="N24">
        <v>1.4738453310073099E-2</v>
      </c>
      <c r="O24">
        <v>7.4129737192391666E-6</v>
      </c>
      <c r="P24">
        <v>1.121858329012715E-5</v>
      </c>
      <c r="Q24">
        <v>0</v>
      </c>
      <c r="R24">
        <v>0</v>
      </c>
      <c r="S24">
        <v>0.36665544427026481</v>
      </c>
      <c r="T24">
        <v>1.1667287532395379E-3</v>
      </c>
    </row>
    <row r="25" spans="1:20" x14ac:dyDescent="0.25">
      <c r="A25">
        <v>24</v>
      </c>
      <c r="B25" t="s">
        <v>40</v>
      </c>
      <c r="C25" t="s">
        <v>33</v>
      </c>
      <c r="D25">
        <v>0.24775785922411331</v>
      </c>
      <c r="E25">
        <v>0.33839560791953782</v>
      </c>
      <c r="F25">
        <v>0.69497621999070569</v>
      </c>
      <c r="G25">
        <v>1.350698175739391E-6</v>
      </c>
      <c r="H25">
        <v>0.1218831329937866</v>
      </c>
      <c r="I25">
        <v>2.63479409893114E-2</v>
      </c>
      <c r="J25">
        <v>6.7266425771203347E-4</v>
      </c>
      <c r="K25">
        <v>0.21242310571775139</v>
      </c>
      <c r="L25">
        <v>6.1192321672645707E-5</v>
      </c>
      <c r="M25">
        <v>0.22496549126875709</v>
      </c>
      <c r="N25">
        <v>6.1733056624192944E-3</v>
      </c>
      <c r="O25">
        <v>2.0608962430989989E-5</v>
      </c>
      <c r="P25">
        <v>7.4758908543446983E-6</v>
      </c>
      <c r="Q25">
        <v>0</v>
      </c>
      <c r="R25">
        <v>0</v>
      </c>
      <c r="S25">
        <v>0.1566289104651935</v>
      </c>
      <c r="T25">
        <v>2.3996329069817528E-3</v>
      </c>
    </row>
    <row r="26" spans="1:20" x14ac:dyDescent="0.25">
      <c r="A26">
        <v>25</v>
      </c>
      <c r="B26" t="s">
        <v>41</v>
      </c>
      <c r="C26" t="s">
        <v>33</v>
      </c>
      <c r="D26">
        <v>0.23999943922255429</v>
      </c>
      <c r="E26">
        <v>0.31238168939845978</v>
      </c>
      <c r="F26">
        <v>0.72693189041502981</v>
      </c>
      <c r="G26">
        <v>1.86163459017343E-6</v>
      </c>
      <c r="H26">
        <v>0.12468457502375981</v>
      </c>
      <c r="I26">
        <v>3.004684758872319E-2</v>
      </c>
      <c r="J26">
        <v>8.4016166160966047E-4</v>
      </c>
      <c r="K26">
        <v>0.19158756721140119</v>
      </c>
      <c r="L26">
        <v>8.2098444303128372E-5</v>
      </c>
      <c r="M26">
        <v>0.23167726638316871</v>
      </c>
      <c r="N26">
        <v>5.8589249225245764E-3</v>
      </c>
      <c r="O26">
        <v>2.4253645761214819E-5</v>
      </c>
      <c r="P26">
        <v>9.6324803942406704E-6</v>
      </c>
      <c r="Q26">
        <v>0</v>
      </c>
      <c r="R26">
        <v>0</v>
      </c>
      <c r="S26">
        <v>0.17827062308939559</v>
      </c>
      <c r="T26">
        <v>2.7345543992858389E-3</v>
      </c>
    </row>
    <row r="27" spans="1:20" x14ac:dyDescent="0.25">
      <c r="A27">
        <v>26</v>
      </c>
      <c r="B27" t="s">
        <v>42</v>
      </c>
      <c r="C27" t="s">
        <v>43</v>
      </c>
      <c r="D27">
        <v>1.2555600825627809E-6</v>
      </c>
      <c r="E27">
        <v>4.2571924728133802E-10</v>
      </c>
      <c r="F27">
        <v>1.2160322606481731E-5</v>
      </c>
      <c r="G27">
        <v>0.96222142005052991</v>
      </c>
      <c r="H27">
        <v>2.4131103119988079E-8</v>
      </c>
      <c r="I27">
        <v>1.839320419467973E-2</v>
      </c>
      <c r="J27">
        <v>0.32407286909080568</v>
      </c>
      <c r="K27">
        <v>2.1489608749335429E-9</v>
      </c>
      <c r="L27">
        <v>0.51687338784221892</v>
      </c>
      <c r="M27">
        <v>8.8621097990986477E-5</v>
      </c>
      <c r="N27">
        <v>8.0940946750033545E-13</v>
      </c>
      <c r="O27">
        <v>7.6139062852377216E-3</v>
      </c>
      <c r="P27">
        <v>0.28741836266954363</v>
      </c>
      <c r="Q27">
        <v>0</v>
      </c>
      <c r="R27">
        <v>0</v>
      </c>
      <c r="S27">
        <v>3.457213875773477E-3</v>
      </c>
      <c r="T27">
        <v>1.1439352308671409E-2</v>
      </c>
    </row>
    <row r="28" spans="1:20" x14ac:dyDescent="0.25">
      <c r="A28">
        <v>27</v>
      </c>
      <c r="B28" t="s">
        <v>44</v>
      </c>
      <c r="C28" t="s">
        <v>43</v>
      </c>
      <c r="D28">
        <v>2.7214478560063238E-7</v>
      </c>
      <c r="E28">
        <v>6.7350019574303767E-11</v>
      </c>
      <c r="F28">
        <v>3.2858600970445439E-6</v>
      </c>
      <c r="G28">
        <v>0.91750097349657544</v>
      </c>
      <c r="H28">
        <v>5.5531987432103839E-9</v>
      </c>
      <c r="I28">
        <v>7.9044839536337643E-3</v>
      </c>
      <c r="J28">
        <v>0.20369074316925029</v>
      </c>
      <c r="K28">
        <v>3.369150623593979E-10</v>
      </c>
      <c r="L28">
        <v>0.41529846406523541</v>
      </c>
      <c r="M28">
        <v>2.4781850250241821E-5</v>
      </c>
      <c r="N28">
        <v>1.3012212952298741E-13</v>
      </c>
      <c r="O28">
        <v>4.1002189320979328E-3</v>
      </c>
      <c r="P28">
        <v>0.21634815195479351</v>
      </c>
      <c r="Q28">
        <v>0</v>
      </c>
      <c r="R28">
        <v>0</v>
      </c>
      <c r="S28">
        <v>1.363449257835824E-3</v>
      </c>
      <c r="T28">
        <v>5.1335921880945254E-3</v>
      </c>
    </row>
    <row r="29" spans="1:20" x14ac:dyDescent="0.25">
      <c r="A29">
        <v>28</v>
      </c>
      <c r="B29" t="s">
        <v>45</v>
      </c>
      <c r="C29" t="s">
        <v>43</v>
      </c>
      <c r="D29">
        <v>1.6874790598654821E-6</v>
      </c>
      <c r="E29">
        <v>5.0558757263223047E-11</v>
      </c>
      <c r="F29">
        <v>1.502945617240933E-6</v>
      </c>
      <c r="G29">
        <v>0.75111634355233381</v>
      </c>
      <c r="H29">
        <v>6.932171484402358E-10</v>
      </c>
      <c r="I29">
        <v>1.8781683412677171E-2</v>
      </c>
      <c r="J29">
        <v>0.27509052302728548</v>
      </c>
      <c r="K29">
        <v>1.8961108104931809E-9</v>
      </c>
      <c r="L29">
        <v>0.1157251763851245</v>
      </c>
      <c r="M29">
        <v>1.027508216435221E-4</v>
      </c>
      <c r="N29">
        <v>9.8871604633468696E-15</v>
      </c>
      <c r="O29">
        <v>5.9049601825205397E-2</v>
      </c>
      <c r="P29">
        <v>0.70081919133973292</v>
      </c>
      <c r="Q29">
        <v>0</v>
      </c>
      <c r="R29">
        <v>0</v>
      </c>
      <c r="S29">
        <v>6.2924321822263498E-4</v>
      </c>
      <c r="T29">
        <v>3.2725672357496217E-2</v>
      </c>
    </row>
    <row r="30" spans="1:20" x14ac:dyDescent="0.25">
      <c r="A30">
        <v>29</v>
      </c>
      <c r="B30" t="s">
        <v>46</v>
      </c>
      <c r="C30" t="s">
        <v>43</v>
      </c>
      <c r="D30">
        <v>5.5612357232879598E-7</v>
      </c>
      <c r="E30">
        <v>2.5639974414970149E-11</v>
      </c>
      <c r="F30">
        <v>1.128448805464195E-6</v>
      </c>
      <c r="G30">
        <v>0.87788162737625286</v>
      </c>
      <c r="H30">
        <v>6.8929051605994823E-10</v>
      </c>
      <c r="I30">
        <v>1.1182134422989289E-2</v>
      </c>
      <c r="J30">
        <v>0.22950179838448939</v>
      </c>
      <c r="K30">
        <v>5.4971321904458295E-10</v>
      </c>
      <c r="L30">
        <v>0.1676948084074901</v>
      </c>
      <c r="M30">
        <v>4.2732164170185411E-5</v>
      </c>
      <c r="N30">
        <v>9.4953195822671191E-15</v>
      </c>
      <c r="O30">
        <v>2.3840330518174479E-2</v>
      </c>
      <c r="P30">
        <v>0.50084776565139244</v>
      </c>
      <c r="Q30">
        <v>0</v>
      </c>
      <c r="R30">
        <v>0</v>
      </c>
      <c r="S30">
        <v>5.6467101682261989E-4</v>
      </c>
      <c r="T30">
        <v>1.5157095377019369E-2</v>
      </c>
    </row>
    <row r="31" spans="1:20" x14ac:dyDescent="0.25">
      <c r="A31">
        <v>30</v>
      </c>
      <c r="B31" t="s">
        <v>47</v>
      </c>
      <c r="C31" t="s">
        <v>43</v>
      </c>
      <c r="D31">
        <v>1.032148243034483E-5</v>
      </c>
      <c r="E31">
        <v>5.514953717698594E-9</v>
      </c>
      <c r="F31">
        <v>7.1577919735906355E-5</v>
      </c>
      <c r="G31">
        <v>0.88932059509016248</v>
      </c>
      <c r="H31">
        <v>1.789656567623073E-7</v>
      </c>
      <c r="I31">
        <v>5.5081185866270997E-2</v>
      </c>
      <c r="J31">
        <v>0.55377500834281279</v>
      </c>
      <c r="K31">
        <v>2.8428841411666799E-8</v>
      </c>
      <c r="L31">
        <v>0.61190021590610366</v>
      </c>
      <c r="M31">
        <v>5.0019590649411398E-4</v>
      </c>
      <c r="N31">
        <v>1.015170301809985E-11</v>
      </c>
      <c r="O31">
        <v>1.647819869876713E-2</v>
      </c>
      <c r="P31">
        <v>0.37804349399764292</v>
      </c>
      <c r="Q31">
        <v>0</v>
      </c>
      <c r="R31">
        <v>0</v>
      </c>
      <c r="S31">
        <v>1.167311342078085E-2</v>
      </c>
      <c r="T31">
        <v>3.2265970865260077E-2</v>
      </c>
    </row>
    <row r="32" spans="1:20" x14ac:dyDescent="0.25">
      <c r="A32">
        <v>31</v>
      </c>
      <c r="B32" t="s">
        <v>48</v>
      </c>
      <c r="C32" t="s">
        <v>43</v>
      </c>
      <c r="D32">
        <v>2.0919640345818348E-6</v>
      </c>
      <c r="E32">
        <v>1.0849256937343349E-9</v>
      </c>
      <c r="F32">
        <v>2.4631690680860082E-5</v>
      </c>
      <c r="G32">
        <v>0.91890135536901163</v>
      </c>
      <c r="H32">
        <v>6.2354733725066095E-8</v>
      </c>
      <c r="I32">
        <v>2.3764812172682389E-2</v>
      </c>
      <c r="J32">
        <v>0.3649720689313366</v>
      </c>
      <c r="K32">
        <v>4.3159089911147364E-9</v>
      </c>
      <c r="L32">
        <v>0.61665606157656161</v>
      </c>
      <c r="M32">
        <v>1.3506144286882171E-4</v>
      </c>
      <c r="N32">
        <v>2.6958233023284399E-12</v>
      </c>
      <c r="O32">
        <v>7.0064832609315958E-3</v>
      </c>
      <c r="P32">
        <v>0.26421400147514301</v>
      </c>
      <c r="Q32">
        <v>0</v>
      </c>
      <c r="R32">
        <v>0</v>
      </c>
      <c r="S32">
        <v>5.7020789732246183E-3</v>
      </c>
      <c r="T32">
        <v>1.2817465599503459E-2</v>
      </c>
    </row>
    <row r="33" spans="1:20" x14ac:dyDescent="0.25">
      <c r="A33">
        <v>32</v>
      </c>
      <c r="B33" t="s">
        <v>49</v>
      </c>
      <c r="C33" t="s">
        <v>50</v>
      </c>
      <c r="D33">
        <v>1.844443127942338E-5</v>
      </c>
      <c r="E33">
        <v>1.4687350184799809E-2</v>
      </c>
      <c r="F33">
        <v>6.6284173004096558E-2</v>
      </c>
      <c r="G33">
        <v>5.6985457975896042E-9</v>
      </c>
      <c r="H33">
        <v>0.56193134791668997</v>
      </c>
      <c r="I33">
        <v>1.355095690602572E-5</v>
      </c>
      <c r="J33">
        <v>1.1090940189727221E-6</v>
      </c>
      <c r="K33">
        <v>3.0336094821276559E-5</v>
      </c>
      <c r="L33">
        <v>6.7424236202020501E-6</v>
      </c>
      <c r="M33">
        <v>3.9128127712846621E-5</v>
      </c>
      <c r="N33">
        <v>0.17701439934201851</v>
      </c>
      <c r="O33">
        <v>4.8615239142804468E-11</v>
      </c>
      <c r="P33">
        <v>8.3129789036607067E-10</v>
      </c>
      <c r="Q33">
        <v>0</v>
      </c>
      <c r="R33">
        <v>0</v>
      </c>
      <c r="S33">
        <v>9.3909097563322306E-3</v>
      </c>
      <c r="T33">
        <v>7.095968339102013E-8</v>
      </c>
    </row>
    <row r="34" spans="1:20" x14ac:dyDescent="0.25">
      <c r="A34">
        <v>33</v>
      </c>
      <c r="B34" t="s">
        <v>51</v>
      </c>
      <c r="C34" t="s">
        <v>50</v>
      </c>
      <c r="D34">
        <v>9.3550615358080291E-6</v>
      </c>
      <c r="E34">
        <v>1.7013165251614729E-2</v>
      </c>
      <c r="F34">
        <v>4.0141985597702018E-2</v>
      </c>
      <c r="G34">
        <v>5.4204427458051556E-10</v>
      </c>
      <c r="H34">
        <v>0.54025108866228289</v>
      </c>
      <c r="I34">
        <v>3.1856946384577989E-6</v>
      </c>
      <c r="J34">
        <v>1.7111611060685769E-7</v>
      </c>
      <c r="K34">
        <v>2.4514381113946231E-5</v>
      </c>
      <c r="L34">
        <v>9.9186327430125675E-7</v>
      </c>
      <c r="M34">
        <v>1.503247847550758E-5</v>
      </c>
      <c r="N34">
        <v>0.30632711016378428</v>
      </c>
      <c r="O34">
        <v>5.9952234038480667E-12</v>
      </c>
      <c r="P34">
        <v>8.5023103424036895E-11</v>
      </c>
      <c r="Q34">
        <v>0</v>
      </c>
      <c r="R34">
        <v>0</v>
      </c>
      <c r="S34">
        <v>3.366192720486784E-3</v>
      </c>
      <c r="T34">
        <v>1.3091201899709891E-8</v>
      </c>
    </row>
    <row r="35" spans="1:20" x14ac:dyDescent="0.25">
      <c r="A35">
        <v>34</v>
      </c>
      <c r="B35" t="s">
        <v>52</v>
      </c>
      <c r="C35" t="s">
        <v>50</v>
      </c>
      <c r="D35">
        <v>6.9728147268147594E-5</v>
      </c>
      <c r="E35">
        <v>5.0870514074708738E-2</v>
      </c>
      <c r="F35">
        <v>0.103930655902393</v>
      </c>
      <c r="G35">
        <v>2.0673226998734599E-9</v>
      </c>
      <c r="H35">
        <v>0.80062532858656488</v>
      </c>
      <c r="I35">
        <v>1.725214422032806E-5</v>
      </c>
      <c r="J35">
        <v>7.6572775940848856E-7</v>
      </c>
      <c r="K35">
        <v>1.6906664421704529E-4</v>
      </c>
      <c r="L35">
        <v>2.3704484637529258E-6</v>
      </c>
      <c r="M35">
        <v>9.7624967595217002E-5</v>
      </c>
      <c r="N35">
        <v>0.35438667752866332</v>
      </c>
      <c r="O35">
        <v>7.0438491830365574E-11</v>
      </c>
      <c r="P35">
        <v>5.587058762121192E-10</v>
      </c>
      <c r="Q35">
        <v>0</v>
      </c>
      <c r="R35">
        <v>0</v>
      </c>
      <c r="S35">
        <v>9.138059312214477E-3</v>
      </c>
      <c r="T35">
        <v>1.073552438250854E-7</v>
      </c>
    </row>
    <row r="36" spans="1:20" x14ac:dyDescent="0.25">
      <c r="A36">
        <v>35</v>
      </c>
      <c r="B36" t="s">
        <v>53</v>
      </c>
      <c r="C36" t="s">
        <v>50</v>
      </c>
      <c r="D36">
        <v>7.190843873306956E-3</v>
      </c>
      <c r="E36">
        <v>0.54892996428902041</v>
      </c>
      <c r="F36">
        <v>0.40210178888186299</v>
      </c>
      <c r="G36">
        <v>5.7287832444452952E-9</v>
      </c>
      <c r="H36">
        <v>0.75231465156122013</v>
      </c>
      <c r="I36">
        <v>3.2526653768847398E-4</v>
      </c>
      <c r="J36">
        <v>5.4066707338809294E-6</v>
      </c>
      <c r="K36">
        <v>2.0223491884310229E-2</v>
      </c>
      <c r="L36">
        <v>2.09330794800258E-6</v>
      </c>
      <c r="M36">
        <v>5.0671598098951196E-3</v>
      </c>
      <c r="N36">
        <v>0.24695313057902529</v>
      </c>
      <c r="O36">
        <v>9.4417197780738485E-9</v>
      </c>
      <c r="P36">
        <v>9.6517268478289213E-9</v>
      </c>
      <c r="Q36">
        <v>0</v>
      </c>
      <c r="R36">
        <v>0</v>
      </c>
      <c r="S36">
        <v>2.6264250390336859E-2</v>
      </c>
      <c r="T36">
        <v>6.3265362055158391E-6</v>
      </c>
    </row>
    <row r="37" spans="1:20" x14ac:dyDescent="0.25">
      <c r="A37">
        <v>36</v>
      </c>
      <c r="B37" t="s">
        <v>54</v>
      </c>
      <c r="C37" t="s">
        <v>50</v>
      </c>
      <c r="D37">
        <v>3.772916625061616E-3</v>
      </c>
      <c r="E37">
        <v>0.48172145099864377</v>
      </c>
      <c r="F37">
        <v>0.32033571137460271</v>
      </c>
      <c r="G37">
        <v>2.60470383430098E-9</v>
      </c>
      <c r="H37">
        <v>0.81269535043613861</v>
      </c>
      <c r="I37">
        <v>1.604571089010604E-4</v>
      </c>
      <c r="J37">
        <v>2.59318886517337E-6</v>
      </c>
      <c r="K37">
        <v>1.213309943233456E-2</v>
      </c>
      <c r="L37">
        <v>1.242142732077657E-6</v>
      </c>
      <c r="M37">
        <v>2.6209221517920051E-3</v>
      </c>
      <c r="N37">
        <v>0.33326375346399523</v>
      </c>
      <c r="O37">
        <v>3.0494190078585191E-9</v>
      </c>
      <c r="P37">
        <v>3.6747287006189579E-9</v>
      </c>
      <c r="Q37">
        <v>0</v>
      </c>
      <c r="R37">
        <v>0</v>
      </c>
      <c r="S37">
        <v>1.825114192788474E-2</v>
      </c>
      <c r="T37">
        <v>2.5466849997703511E-6</v>
      </c>
    </row>
    <row r="38" spans="1:20" x14ac:dyDescent="0.25">
      <c r="A38">
        <v>37</v>
      </c>
      <c r="B38" t="s">
        <v>55</v>
      </c>
      <c r="C38" t="s">
        <v>50</v>
      </c>
      <c r="D38">
        <v>1.6571113731868219E-3</v>
      </c>
      <c r="E38">
        <v>0.56273640923093915</v>
      </c>
      <c r="F38">
        <v>0.12299368916406191</v>
      </c>
      <c r="G38">
        <v>5.7469571864005479E-11</v>
      </c>
      <c r="H38">
        <v>0.52946743114750494</v>
      </c>
      <c r="I38">
        <v>1.775215120118084E-5</v>
      </c>
      <c r="J38">
        <v>1.3397014169158391E-7</v>
      </c>
      <c r="K38">
        <v>1.1021586724657161E-2</v>
      </c>
      <c r="L38">
        <v>4.6209611463438837E-8</v>
      </c>
      <c r="M38">
        <v>6.9331277307692742E-4</v>
      </c>
      <c r="N38">
        <v>0.51164850034226539</v>
      </c>
      <c r="O38">
        <v>1.6098813673634469E-10</v>
      </c>
      <c r="P38">
        <v>1.1341569828651251E-10</v>
      </c>
      <c r="Q38">
        <v>0</v>
      </c>
      <c r="R38">
        <v>0</v>
      </c>
      <c r="S38">
        <v>3.042695457414714E-3</v>
      </c>
      <c r="T38">
        <v>2.2422797426347709E-7</v>
      </c>
    </row>
    <row r="39" spans="1:20" x14ac:dyDescent="0.25">
      <c r="A39">
        <v>38</v>
      </c>
      <c r="B39" t="s">
        <v>56</v>
      </c>
      <c r="C39" t="s">
        <v>50</v>
      </c>
      <c r="D39">
        <v>4.9658486501715964E-3</v>
      </c>
      <c r="E39">
        <v>8.3476005782737311E-2</v>
      </c>
      <c r="F39">
        <v>0.68900778531084306</v>
      </c>
      <c r="G39">
        <v>3.144670153623402E-6</v>
      </c>
      <c r="H39">
        <v>0.59101159841623929</v>
      </c>
      <c r="I39">
        <v>4.9100802066295822E-3</v>
      </c>
      <c r="J39">
        <v>4.5224948525329951E-4</v>
      </c>
      <c r="K39">
        <v>3.1789635278964309E-3</v>
      </c>
      <c r="L39">
        <v>5.0599261413965041E-4</v>
      </c>
      <c r="M39">
        <v>1.10114826479505E-2</v>
      </c>
      <c r="N39">
        <v>3.7131186967521733E-2</v>
      </c>
      <c r="O39">
        <v>4.2599724269630151E-7</v>
      </c>
      <c r="P39">
        <v>1.896851660793151E-6</v>
      </c>
      <c r="Q39">
        <v>0</v>
      </c>
      <c r="R39">
        <v>0</v>
      </c>
      <c r="S39">
        <v>0.25230415293087638</v>
      </c>
      <c r="T39">
        <v>1.2065267117457709E-4</v>
      </c>
    </row>
    <row r="40" spans="1:20" x14ac:dyDescent="0.25">
      <c r="A40">
        <v>39</v>
      </c>
      <c r="B40" t="s">
        <v>57</v>
      </c>
      <c r="C40" t="s">
        <v>50</v>
      </c>
      <c r="D40">
        <v>3.0584068987066101E-3</v>
      </c>
      <c r="E40">
        <v>9.1804605305531098E-2</v>
      </c>
      <c r="F40">
        <v>0.59360557395874303</v>
      </c>
      <c r="G40">
        <v>1.10969059580067E-6</v>
      </c>
      <c r="H40">
        <v>0.71247435419324978</v>
      </c>
      <c r="I40">
        <v>2.3480506074974759E-3</v>
      </c>
      <c r="J40">
        <v>1.8901506293939239E-4</v>
      </c>
      <c r="K40">
        <v>2.439025695557507E-3</v>
      </c>
      <c r="L40">
        <v>2.4162209536916681E-4</v>
      </c>
      <c r="M40">
        <v>6.2234947162957896E-3</v>
      </c>
      <c r="N40">
        <v>6.127313367394846E-2</v>
      </c>
      <c r="O40">
        <v>1.275909301624875E-7</v>
      </c>
      <c r="P40">
        <v>6.0437749523499371E-7</v>
      </c>
      <c r="Q40">
        <v>0</v>
      </c>
      <c r="R40">
        <v>0</v>
      </c>
      <c r="S40">
        <v>0.17140212105770991</v>
      </c>
      <c r="T40">
        <v>4.6947787530142427E-5</v>
      </c>
    </row>
    <row r="41" spans="1:20" x14ac:dyDescent="0.25">
      <c r="A41">
        <v>40</v>
      </c>
      <c r="B41" t="s">
        <v>58</v>
      </c>
      <c r="C41" t="s">
        <v>50</v>
      </c>
      <c r="D41">
        <v>2.773813945135036E-5</v>
      </c>
      <c r="E41">
        <v>1.7189340742821101E-2</v>
      </c>
      <c r="F41">
        <v>8.1986126915313096E-2</v>
      </c>
      <c r="G41">
        <v>9.4112670211670338E-9</v>
      </c>
      <c r="H41">
        <v>0.59941954255736463</v>
      </c>
      <c r="I41">
        <v>2.1234310473163231E-5</v>
      </c>
      <c r="J41">
        <v>1.772910062216969E-6</v>
      </c>
      <c r="K41">
        <v>4.2559358317881853E-5</v>
      </c>
      <c r="L41">
        <v>9.7783299434877943E-6</v>
      </c>
      <c r="M41">
        <v>5.9505081971958972E-5</v>
      </c>
      <c r="N41">
        <v>0.16876819729570919</v>
      </c>
      <c r="O41">
        <v>9.3597876109564099E-11</v>
      </c>
      <c r="P41">
        <v>1.4881671370804341E-9</v>
      </c>
      <c r="Q41">
        <v>0</v>
      </c>
      <c r="R41">
        <v>0</v>
      </c>
      <c r="S41">
        <v>1.2478272692871301E-2</v>
      </c>
      <c r="T41">
        <v>1.226104291536674E-7</v>
      </c>
    </row>
    <row r="42" spans="1:20" x14ac:dyDescent="0.25">
      <c r="A42">
        <v>41</v>
      </c>
      <c r="B42" t="s">
        <v>59</v>
      </c>
      <c r="C42" t="s">
        <v>50</v>
      </c>
      <c r="D42">
        <v>4.922152031149451E-3</v>
      </c>
      <c r="E42">
        <v>0.6565312254255623</v>
      </c>
      <c r="F42">
        <v>0.24519118566254711</v>
      </c>
      <c r="G42">
        <v>6.3522674479222408E-10</v>
      </c>
      <c r="H42">
        <v>0.61894889501039507</v>
      </c>
      <c r="I42">
        <v>9.6177189377943229E-5</v>
      </c>
      <c r="J42">
        <v>1.0051116432020751E-6</v>
      </c>
      <c r="K42">
        <v>2.1372553961807119E-2</v>
      </c>
      <c r="L42">
        <v>3.1291304190714839E-7</v>
      </c>
      <c r="M42">
        <v>2.5456056091881459E-3</v>
      </c>
      <c r="N42">
        <v>0.33739591099161059</v>
      </c>
      <c r="O42">
        <v>1.8355747116725801E-9</v>
      </c>
      <c r="P42">
        <v>1.333135028933625E-9</v>
      </c>
      <c r="Q42">
        <v>0</v>
      </c>
      <c r="R42">
        <v>0</v>
      </c>
      <c r="S42">
        <v>9.7139086643743596E-3</v>
      </c>
      <c r="T42">
        <v>1.653100625346127E-6</v>
      </c>
    </row>
    <row r="43" spans="1:20" x14ac:dyDescent="0.25">
      <c r="A43">
        <v>42</v>
      </c>
      <c r="B43" t="s">
        <v>60</v>
      </c>
      <c r="C43" t="s">
        <v>50</v>
      </c>
      <c r="D43">
        <v>4.619668098483961E-3</v>
      </c>
      <c r="E43">
        <v>0.4405543786683096</v>
      </c>
      <c r="F43">
        <v>0.39379724059057358</v>
      </c>
      <c r="G43">
        <v>7.0027519146989972E-9</v>
      </c>
      <c r="H43">
        <v>0.85161344681133877</v>
      </c>
      <c r="I43">
        <v>2.822312344991288E-4</v>
      </c>
      <c r="J43">
        <v>5.568988780030278E-6</v>
      </c>
      <c r="K43">
        <v>1.218229263618175E-2</v>
      </c>
      <c r="L43">
        <v>2.8593839139160518E-6</v>
      </c>
      <c r="M43">
        <v>3.6641178124164802E-3</v>
      </c>
      <c r="N43">
        <v>0.27503136379199439</v>
      </c>
      <c r="O43">
        <v>6.705369252682874E-9</v>
      </c>
      <c r="P43">
        <v>9.1753450581041857E-9</v>
      </c>
      <c r="Q43">
        <v>0</v>
      </c>
      <c r="R43">
        <v>0</v>
      </c>
      <c r="S43">
        <v>2.8140668878590451E-2</v>
      </c>
      <c r="T43">
        <v>4.824820316699919E-6</v>
      </c>
    </row>
    <row r="44" spans="1:20" x14ac:dyDescent="0.25">
      <c r="A44">
        <v>43</v>
      </c>
      <c r="B44" t="s">
        <v>61</v>
      </c>
      <c r="C44" t="s">
        <v>50</v>
      </c>
      <c r="D44">
        <v>3.7899941566596818E-3</v>
      </c>
      <c r="E44">
        <v>0.40093869838526008</v>
      </c>
      <c r="F44">
        <v>0.38319957118017911</v>
      </c>
      <c r="G44">
        <v>7.1888963481641867E-9</v>
      </c>
      <c r="H44">
        <v>0.8853336197212921</v>
      </c>
      <c r="I44">
        <v>2.5717683212071068E-4</v>
      </c>
      <c r="J44">
        <v>5.3896832825716824E-6</v>
      </c>
      <c r="K44">
        <v>9.8271192112178857E-3</v>
      </c>
      <c r="L44">
        <v>3.0927255473240431E-6</v>
      </c>
      <c r="M44">
        <v>3.1343275064134681E-3</v>
      </c>
      <c r="N44">
        <v>0.28720583708116437</v>
      </c>
      <c r="O44">
        <v>5.5756346165731773E-9</v>
      </c>
      <c r="P44">
        <v>8.5360440872426981E-9</v>
      </c>
      <c r="Q44">
        <v>0</v>
      </c>
      <c r="R44">
        <v>0</v>
      </c>
      <c r="S44">
        <v>2.810212608926671E-2</v>
      </c>
      <c r="T44">
        <v>4.1581077053859704E-6</v>
      </c>
    </row>
    <row r="45" spans="1:20" x14ac:dyDescent="0.25">
      <c r="A45">
        <v>44</v>
      </c>
      <c r="B45" t="s">
        <v>62</v>
      </c>
      <c r="C45" t="s">
        <v>50</v>
      </c>
      <c r="D45">
        <v>1.809683598995977E-3</v>
      </c>
      <c r="E45">
        <v>0.52800226248682691</v>
      </c>
      <c r="F45">
        <v>0.157782742597324</v>
      </c>
      <c r="G45">
        <v>1.5045965000019551E-10</v>
      </c>
      <c r="H45">
        <v>0.63050592251561266</v>
      </c>
      <c r="I45">
        <v>2.904596795684946E-5</v>
      </c>
      <c r="J45">
        <v>2.745110571385097E-7</v>
      </c>
      <c r="K45">
        <v>1.001401884710613E-2</v>
      </c>
      <c r="L45">
        <v>1.112913504413295E-7</v>
      </c>
      <c r="M45">
        <v>8.806327443716739E-4</v>
      </c>
      <c r="N45">
        <v>0.49959366732948152</v>
      </c>
      <c r="O45">
        <v>2.9253671504193811E-10</v>
      </c>
      <c r="P45">
        <v>2.5463612257573242E-10</v>
      </c>
      <c r="Q45">
        <v>0</v>
      </c>
      <c r="R45">
        <v>0</v>
      </c>
      <c r="S45">
        <v>4.8450192624649628E-3</v>
      </c>
      <c r="T45">
        <v>3.7113809102451889E-7</v>
      </c>
    </row>
    <row r="46" spans="1:20" x14ac:dyDescent="0.25">
      <c r="A46">
        <v>45</v>
      </c>
      <c r="B46" t="s">
        <v>63</v>
      </c>
      <c r="C46" t="s">
        <v>50</v>
      </c>
      <c r="D46">
        <v>5.6175088121005075E-4</v>
      </c>
      <c r="E46">
        <v>8.4003704466837512E-2</v>
      </c>
      <c r="F46">
        <v>0.29796879680649252</v>
      </c>
      <c r="G46">
        <v>5.4406674649803993E-8</v>
      </c>
      <c r="H46">
        <v>0.91056223998625097</v>
      </c>
      <c r="I46">
        <v>2.3719621019028771E-4</v>
      </c>
      <c r="J46">
        <v>1.3930042683689151E-5</v>
      </c>
      <c r="K46">
        <v>7.9223623565888713E-4</v>
      </c>
      <c r="L46">
        <v>2.7343188571166561E-5</v>
      </c>
      <c r="M46">
        <v>9.3699371821648748E-4</v>
      </c>
      <c r="N46">
        <v>0.18034120794304659</v>
      </c>
      <c r="O46">
        <v>3.508295256620152E-9</v>
      </c>
      <c r="P46">
        <v>2.1138690195239171E-8</v>
      </c>
      <c r="Q46">
        <v>0</v>
      </c>
      <c r="R46">
        <v>0</v>
      </c>
      <c r="S46">
        <v>4.6694053896919691E-2</v>
      </c>
      <c r="T46">
        <v>2.644937317131485E-6</v>
      </c>
    </row>
    <row r="47" spans="1:20" x14ac:dyDescent="0.25">
      <c r="A47">
        <v>46</v>
      </c>
      <c r="B47" t="s">
        <v>64</v>
      </c>
      <c r="C47" t="s">
        <v>50</v>
      </c>
      <c r="D47">
        <v>1.9261686862541732E-5</v>
      </c>
      <c r="E47">
        <v>2.064952576729975E-2</v>
      </c>
      <c r="F47">
        <v>6.184536449593997E-2</v>
      </c>
      <c r="G47">
        <v>1.9429402693592519E-9</v>
      </c>
      <c r="H47">
        <v>0.61332365191910698</v>
      </c>
      <c r="I47">
        <v>8.4417627601715909E-6</v>
      </c>
      <c r="J47">
        <v>5.1895749138082409E-7</v>
      </c>
      <c r="K47">
        <v>4.0978859375562357E-5</v>
      </c>
      <c r="L47">
        <v>2.6978266696818779E-6</v>
      </c>
      <c r="M47">
        <v>3.3749980399074978E-5</v>
      </c>
      <c r="N47">
        <v>0.25926574097417082</v>
      </c>
      <c r="O47">
        <v>2.430920584708879E-11</v>
      </c>
      <c r="P47">
        <v>3.3064536608727088E-10</v>
      </c>
      <c r="Q47">
        <v>0</v>
      </c>
      <c r="R47">
        <v>0</v>
      </c>
      <c r="S47">
        <v>6.5041333772614786E-3</v>
      </c>
      <c r="T47">
        <v>4.1748842298463892E-8</v>
      </c>
    </row>
    <row r="48" spans="1:20" x14ac:dyDescent="0.25">
      <c r="A48">
        <v>47</v>
      </c>
      <c r="B48" t="s">
        <v>65</v>
      </c>
      <c r="C48" t="s">
        <v>50</v>
      </c>
      <c r="D48">
        <v>5.9379853355258187E-3</v>
      </c>
      <c r="E48">
        <v>0.49763296498557569</v>
      </c>
      <c r="F48">
        <v>0.40216989509468343</v>
      </c>
      <c r="G48">
        <v>6.4698134713752341E-9</v>
      </c>
      <c r="H48">
        <v>0.80020829174351982</v>
      </c>
      <c r="I48">
        <v>3.1086248544399698E-4</v>
      </c>
      <c r="J48">
        <v>5.6155471106225589E-6</v>
      </c>
      <c r="K48">
        <v>1.6133441082839019E-2</v>
      </c>
      <c r="L48">
        <v>2.476163625862973E-6</v>
      </c>
      <c r="M48">
        <v>4.4308620615643012E-3</v>
      </c>
      <c r="N48">
        <v>0.25908880480389368</v>
      </c>
      <c r="O48">
        <v>8.2878650813261639E-9</v>
      </c>
      <c r="P48">
        <v>9.7048000944438566E-9</v>
      </c>
      <c r="Q48">
        <v>0</v>
      </c>
      <c r="R48">
        <v>0</v>
      </c>
      <c r="S48">
        <v>2.7528424292334541E-2</v>
      </c>
      <c r="T48">
        <v>5.7133836952126256E-6</v>
      </c>
    </row>
    <row r="49" spans="1:20" x14ac:dyDescent="0.25">
      <c r="A49">
        <v>48</v>
      </c>
      <c r="B49" t="s">
        <v>66</v>
      </c>
      <c r="C49" t="s">
        <v>50</v>
      </c>
      <c r="D49">
        <v>9.2206505331285313E-3</v>
      </c>
      <c r="E49">
        <v>0.53368769204166311</v>
      </c>
      <c r="F49">
        <v>0.46724106479713301</v>
      </c>
      <c r="G49">
        <v>1.14819483269272E-8</v>
      </c>
      <c r="H49">
        <v>0.74714902760215007</v>
      </c>
      <c r="I49">
        <v>5.1180453498086075E-4</v>
      </c>
      <c r="J49">
        <v>9.5096923689899961E-6</v>
      </c>
      <c r="K49">
        <v>2.2628625305353631E-2</v>
      </c>
      <c r="L49">
        <v>3.6275174286018789E-6</v>
      </c>
      <c r="M49">
        <v>6.9889982322468751E-3</v>
      </c>
      <c r="N49">
        <v>0.2051132256541833</v>
      </c>
      <c r="O49">
        <v>1.8493988927503409E-8</v>
      </c>
      <c r="P49">
        <v>1.942204579203364E-8</v>
      </c>
      <c r="Q49">
        <v>0</v>
      </c>
      <c r="R49">
        <v>0</v>
      </c>
      <c r="S49">
        <v>3.5515197369750548E-2</v>
      </c>
      <c r="T49">
        <v>1.0869400762697569E-5</v>
      </c>
    </row>
    <row r="50" spans="1:20" x14ac:dyDescent="0.25">
      <c r="A50">
        <v>49</v>
      </c>
      <c r="B50" t="s">
        <v>67</v>
      </c>
      <c r="C50" t="s">
        <v>50</v>
      </c>
      <c r="D50">
        <v>8.7039167626758677E-3</v>
      </c>
      <c r="E50">
        <v>0.53992155856654078</v>
      </c>
      <c r="F50">
        <v>0.44982553136493281</v>
      </c>
      <c r="G50">
        <v>9.5521145388121897E-9</v>
      </c>
      <c r="H50">
        <v>0.7479348135047672</v>
      </c>
      <c r="I50">
        <v>4.5590902791981457E-4</v>
      </c>
      <c r="J50">
        <v>8.2070610960528058E-6</v>
      </c>
      <c r="K50">
        <v>2.2157494165226561E-2</v>
      </c>
      <c r="L50">
        <v>3.1300011522197009E-6</v>
      </c>
      <c r="M50">
        <v>6.46139533216121E-3</v>
      </c>
      <c r="N50">
        <v>0.21522349986055461</v>
      </c>
      <c r="O50">
        <v>1.5600875552995301E-8</v>
      </c>
      <c r="P50">
        <v>1.6199740888126499E-8</v>
      </c>
      <c r="Q50">
        <v>0</v>
      </c>
      <c r="R50">
        <v>0</v>
      </c>
      <c r="S50">
        <v>3.2817190190561729E-2</v>
      </c>
      <c r="T50">
        <v>9.4796422881009197E-6</v>
      </c>
    </row>
    <row r="51" spans="1:20" x14ac:dyDescent="0.25">
      <c r="A51">
        <v>50</v>
      </c>
      <c r="B51" t="s">
        <v>68</v>
      </c>
      <c r="C51" t="s">
        <v>50</v>
      </c>
      <c r="D51">
        <v>1.1911618521338769E-5</v>
      </c>
      <c r="E51">
        <v>6.3327740618390584E-3</v>
      </c>
      <c r="F51">
        <v>5.8963219038306973E-2</v>
      </c>
      <c r="G51">
        <v>2.7468840928359259E-8</v>
      </c>
      <c r="H51">
        <v>0.4076224660618325</v>
      </c>
      <c r="I51">
        <v>2.215671741882156E-5</v>
      </c>
      <c r="J51">
        <v>3.0389301466171712E-6</v>
      </c>
      <c r="K51">
        <v>1.2686332492122869E-5</v>
      </c>
      <c r="L51">
        <v>2.6074197790669661E-5</v>
      </c>
      <c r="M51">
        <v>3.5721254702452691E-5</v>
      </c>
      <c r="N51">
        <v>7.9638697214305373E-2</v>
      </c>
      <c r="O51">
        <v>1.058956028872983E-10</v>
      </c>
      <c r="P51">
        <v>2.879469756273383E-9</v>
      </c>
      <c r="Q51">
        <v>0</v>
      </c>
      <c r="R51">
        <v>0</v>
      </c>
      <c r="S51">
        <v>1.3886782995091079E-2</v>
      </c>
      <c r="T51">
        <v>1.2187282999757721E-7</v>
      </c>
    </row>
    <row r="52" spans="1:20" x14ac:dyDescent="0.25">
      <c r="A52">
        <v>51</v>
      </c>
      <c r="B52" t="s">
        <v>69</v>
      </c>
      <c r="C52" t="s">
        <v>50</v>
      </c>
      <c r="D52">
        <v>1.6328352499711061E-4</v>
      </c>
      <c r="E52">
        <v>3.09112695531235E-2</v>
      </c>
      <c r="F52">
        <v>0.19539376190014621</v>
      </c>
      <c r="G52">
        <v>9.150526448640412E-8</v>
      </c>
      <c r="H52">
        <v>0.71016646493582147</v>
      </c>
      <c r="I52">
        <v>1.5603460149535251E-4</v>
      </c>
      <c r="J52">
        <v>1.4535868871127719E-5</v>
      </c>
      <c r="K52">
        <v>1.7852767978324049E-4</v>
      </c>
      <c r="L52">
        <v>5.1405548615070473E-5</v>
      </c>
      <c r="M52">
        <v>3.7315164014295119E-4</v>
      </c>
      <c r="N52">
        <v>0.11646818792616991</v>
      </c>
      <c r="O52">
        <v>1.818667816677131E-9</v>
      </c>
      <c r="P52">
        <v>2.0878258279009291E-8</v>
      </c>
      <c r="Q52">
        <v>0</v>
      </c>
      <c r="R52">
        <v>0</v>
      </c>
      <c r="S52">
        <v>4.2256037376237031E-2</v>
      </c>
      <c r="T52">
        <v>1.4255055182209469E-6</v>
      </c>
    </row>
    <row r="53" spans="1:20" x14ac:dyDescent="0.25">
      <c r="A53">
        <v>52</v>
      </c>
      <c r="B53" t="s">
        <v>70</v>
      </c>
      <c r="C53" t="s">
        <v>71</v>
      </c>
      <c r="D53">
        <v>6.0535715539276627E-2</v>
      </c>
      <c r="E53">
        <v>3.9054743203942767E-5</v>
      </c>
      <c r="F53">
        <v>5.9866053052016416E-3</v>
      </c>
      <c r="G53">
        <v>1.2488099627039921E-2</v>
      </c>
      <c r="H53">
        <v>1.3176627650811499E-5</v>
      </c>
      <c r="I53">
        <v>0.79783926206879818</v>
      </c>
      <c r="J53">
        <v>0.27662074202940812</v>
      </c>
      <c r="K53">
        <v>1.639621304703356E-3</v>
      </c>
      <c r="L53">
        <v>1.0219829310092221E-2</v>
      </c>
      <c r="M53">
        <v>0.2999726374222822</v>
      </c>
      <c r="N53">
        <v>6.3471349065661362E-9</v>
      </c>
      <c r="O53">
        <v>0.27905825044902849</v>
      </c>
      <c r="P53">
        <v>0.121022708553174</v>
      </c>
      <c r="Q53">
        <v>0</v>
      </c>
      <c r="R53">
        <v>0</v>
      </c>
      <c r="S53">
        <v>6.0973819761876248E-2</v>
      </c>
      <c r="T53">
        <v>0.91911876310176721</v>
      </c>
    </row>
    <row r="54" spans="1:20" x14ac:dyDescent="0.25">
      <c r="A54">
        <v>53</v>
      </c>
      <c r="B54" t="s">
        <v>72</v>
      </c>
      <c r="C54" t="s">
        <v>71</v>
      </c>
      <c r="D54">
        <v>6.7400440629888689E-2</v>
      </c>
      <c r="E54">
        <v>4.2350593989881803E-5</v>
      </c>
      <c r="F54">
        <v>5.87812520077346E-3</v>
      </c>
      <c r="G54">
        <v>1.0322373994408491E-2</v>
      </c>
      <c r="H54">
        <v>1.2665295413824189E-5</v>
      </c>
      <c r="I54">
        <v>0.77344873926332935</v>
      </c>
      <c r="J54">
        <v>0.24803069914326609</v>
      </c>
      <c r="K54">
        <v>1.9116507876591629E-3</v>
      </c>
      <c r="L54">
        <v>8.3477904323189071E-3</v>
      </c>
      <c r="M54">
        <v>0.31670463702807872</v>
      </c>
      <c r="N54">
        <v>6.3326910444655813E-9</v>
      </c>
      <c r="O54">
        <v>0.27851987444141818</v>
      </c>
      <c r="P54">
        <v>0.10887532281762451</v>
      </c>
      <c r="Q54">
        <v>0</v>
      </c>
      <c r="R54">
        <v>0</v>
      </c>
      <c r="S54">
        <v>5.6525120859064408E-2</v>
      </c>
      <c r="T54">
        <v>0.91651980592811377</v>
      </c>
    </row>
    <row r="55" spans="1:20" x14ac:dyDescent="0.25">
      <c r="A55">
        <v>54</v>
      </c>
      <c r="B55" t="s">
        <v>73</v>
      </c>
      <c r="C55" t="s">
        <v>71</v>
      </c>
      <c r="D55">
        <v>4.3605719072497787E-2</v>
      </c>
      <c r="E55">
        <v>2.2752897856268399E-4</v>
      </c>
      <c r="F55">
        <v>4.1300347808564043E-2</v>
      </c>
      <c r="G55">
        <v>2.6056436113432099E-2</v>
      </c>
      <c r="H55">
        <v>3.2310111541121309E-4</v>
      </c>
      <c r="I55">
        <v>0.95992632537228706</v>
      </c>
      <c r="J55">
        <v>0.45570623433512603</v>
      </c>
      <c r="K55">
        <v>1.5306109608473389E-3</v>
      </c>
      <c r="L55">
        <v>6.2320535723767792E-2</v>
      </c>
      <c r="M55">
        <v>0.272599333350657</v>
      </c>
      <c r="N55">
        <v>2.9566620146816092E-7</v>
      </c>
      <c r="O55">
        <v>5.7696852141124633E-2</v>
      </c>
      <c r="P55">
        <v>8.1674405212834325E-2</v>
      </c>
      <c r="Q55">
        <v>0</v>
      </c>
      <c r="R55">
        <v>0</v>
      </c>
      <c r="S55">
        <v>0.34176575676833432</v>
      </c>
      <c r="T55">
        <v>0.43971260619368557</v>
      </c>
    </row>
    <row r="56" spans="1:20" x14ac:dyDescent="0.25">
      <c r="A56">
        <v>55</v>
      </c>
      <c r="B56" t="s">
        <v>74</v>
      </c>
      <c r="C56" t="s">
        <v>71</v>
      </c>
      <c r="D56">
        <v>7.8656345950946352E-2</v>
      </c>
      <c r="E56">
        <v>1.3003552167231729E-4</v>
      </c>
      <c r="F56">
        <v>1.6960873951398472E-2</v>
      </c>
      <c r="G56">
        <v>1.306582657851444E-2</v>
      </c>
      <c r="H56">
        <v>6.5222712777511567E-5</v>
      </c>
      <c r="I56">
        <v>0.94579245356804109</v>
      </c>
      <c r="J56">
        <v>0.31517486132481698</v>
      </c>
      <c r="K56">
        <v>2.701173841476293E-3</v>
      </c>
      <c r="L56">
        <v>1.7399246450910691E-2</v>
      </c>
      <c r="M56">
        <v>0.38275964481620989</v>
      </c>
      <c r="N56">
        <v>4.6863375683438047E-8</v>
      </c>
      <c r="O56">
        <v>0.15225257229095571</v>
      </c>
      <c r="P56">
        <v>9.0494042212388381E-2</v>
      </c>
      <c r="Q56">
        <v>0</v>
      </c>
      <c r="R56">
        <v>0</v>
      </c>
      <c r="S56">
        <v>0.1358338963176334</v>
      </c>
      <c r="T56">
        <v>0.74910772256072333</v>
      </c>
    </row>
    <row r="57" spans="1:20" x14ac:dyDescent="0.25">
      <c r="A57">
        <v>56</v>
      </c>
      <c r="B57" t="s">
        <v>75</v>
      </c>
      <c r="C57" t="s">
        <v>71</v>
      </c>
      <c r="D57">
        <v>3.2289193436806557E-2</v>
      </c>
      <c r="E57">
        <v>2.19184497647684E-4</v>
      </c>
      <c r="F57">
        <v>4.6118560678656148E-2</v>
      </c>
      <c r="G57">
        <v>3.1937438068538583E-2</v>
      </c>
      <c r="H57">
        <v>4.2614814075504992E-4</v>
      </c>
      <c r="I57">
        <v>0.90027711200991511</v>
      </c>
      <c r="J57">
        <v>0.48962215192146669</v>
      </c>
      <c r="K57">
        <v>1.098139433288991E-3</v>
      </c>
      <c r="L57">
        <v>8.7235206545005342E-2</v>
      </c>
      <c r="M57">
        <v>0.22187558774452151</v>
      </c>
      <c r="N57">
        <v>3.985123377468317E-7</v>
      </c>
      <c r="O57">
        <v>4.2967509799333857E-2</v>
      </c>
      <c r="P57">
        <v>7.9245416414137446E-2</v>
      </c>
      <c r="Q57">
        <v>0</v>
      </c>
      <c r="R57">
        <v>0</v>
      </c>
      <c r="S57">
        <v>0.40203025951926868</v>
      </c>
      <c r="T57">
        <v>0.35936390329658352</v>
      </c>
    </row>
    <row r="58" spans="1:20" x14ac:dyDescent="0.25">
      <c r="A58">
        <v>57</v>
      </c>
      <c r="B58" t="s">
        <v>76</v>
      </c>
      <c r="C58" t="s">
        <v>71</v>
      </c>
      <c r="D58">
        <v>5.0786546807077393E-2</v>
      </c>
      <c r="E58">
        <v>9.9459308312303124E-4</v>
      </c>
      <c r="F58">
        <v>0.1189054390176033</v>
      </c>
      <c r="G58">
        <v>1.2808372100951379E-2</v>
      </c>
      <c r="H58">
        <v>2.0169486647387681E-3</v>
      </c>
      <c r="I58">
        <v>0.75852933681307033</v>
      </c>
      <c r="J58">
        <v>0.29450985222826309</v>
      </c>
      <c r="K58">
        <v>2.7417276277221319E-3</v>
      </c>
      <c r="L58">
        <v>6.0930726540402338E-2</v>
      </c>
      <c r="M58">
        <v>0.28046322267148027</v>
      </c>
      <c r="N58">
        <v>3.539486425610629E-6</v>
      </c>
      <c r="O58">
        <v>1.552589708054216E-2</v>
      </c>
      <c r="P58">
        <v>2.87494802529344E-2</v>
      </c>
      <c r="Q58">
        <v>0</v>
      </c>
      <c r="R58">
        <v>0</v>
      </c>
      <c r="S58">
        <v>0.62376762980133538</v>
      </c>
      <c r="T58">
        <v>0.21199575940383081</v>
      </c>
    </row>
    <row r="59" spans="1:20" x14ac:dyDescent="0.25">
      <c r="A59">
        <v>58</v>
      </c>
      <c r="B59" t="s">
        <v>77</v>
      </c>
      <c r="C59" t="s">
        <v>71</v>
      </c>
      <c r="D59">
        <v>3.2840041378061222E-2</v>
      </c>
      <c r="E59">
        <v>1.394141179570999E-4</v>
      </c>
      <c r="F59">
        <v>3.1633904025800311E-2</v>
      </c>
      <c r="G59">
        <v>3.5656937132304313E-2</v>
      </c>
      <c r="H59">
        <v>2.2122873893266871E-4</v>
      </c>
      <c r="I59">
        <v>0.95194505494721948</v>
      </c>
      <c r="J59">
        <v>0.52602707497247603</v>
      </c>
      <c r="K59">
        <v>9.9471482010260199E-4</v>
      </c>
      <c r="L59">
        <v>7.6401280618709017E-2</v>
      </c>
      <c r="M59">
        <v>0.22711731479113839</v>
      </c>
      <c r="N59">
        <v>1.698729598257251E-7</v>
      </c>
      <c r="O59">
        <v>6.6932634161724194E-2</v>
      </c>
      <c r="P59">
        <v>0.10499820025361831</v>
      </c>
      <c r="Q59">
        <v>0</v>
      </c>
      <c r="R59">
        <v>0</v>
      </c>
      <c r="S59">
        <v>0.30992371214287012</v>
      </c>
      <c r="T59">
        <v>0.45846499375166772</v>
      </c>
    </row>
    <row r="60" spans="1:20" x14ac:dyDescent="0.25">
      <c r="A60">
        <v>59</v>
      </c>
      <c r="B60" t="s">
        <v>78</v>
      </c>
      <c r="C60" t="s">
        <v>79</v>
      </c>
      <c r="D60">
        <v>3.2905483487578467E-4</v>
      </c>
      <c r="E60">
        <v>1.419613239620908E-7</v>
      </c>
      <c r="F60">
        <v>4.7401039742927089E-4</v>
      </c>
      <c r="G60">
        <v>0.50268891138826288</v>
      </c>
      <c r="H60">
        <v>9.6785908822417374E-7</v>
      </c>
      <c r="I60">
        <v>0.26980441680294709</v>
      </c>
      <c r="J60">
        <v>0.94545128105642562</v>
      </c>
      <c r="K60">
        <v>1.743605732600181E-6</v>
      </c>
      <c r="L60">
        <v>0.31716713261798057</v>
      </c>
      <c r="M60">
        <v>7.7907738336647292E-3</v>
      </c>
      <c r="N60">
        <v>9.6176160678533689E-11</v>
      </c>
      <c r="O60">
        <v>0.1062684730608927</v>
      </c>
      <c r="P60">
        <v>0.6336918031107226</v>
      </c>
      <c r="Q60">
        <v>0</v>
      </c>
      <c r="R60">
        <v>0</v>
      </c>
      <c r="S60">
        <v>3.4467996629628017E-2</v>
      </c>
      <c r="T60">
        <v>0.21828951691373891</v>
      </c>
    </row>
    <row r="61" spans="1:20" x14ac:dyDescent="0.25">
      <c r="A61">
        <v>60</v>
      </c>
      <c r="B61" t="s">
        <v>80</v>
      </c>
      <c r="C61" t="s">
        <v>79</v>
      </c>
      <c r="D61">
        <v>6.729296393405272E-4</v>
      </c>
      <c r="E61">
        <v>7.5466674833704354E-7</v>
      </c>
      <c r="F61">
        <v>1.65809568256945E-3</v>
      </c>
      <c r="G61">
        <v>0.39155729158579911</v>
      </c>
      <c r="H61">
        <v>5.8836074235254732E-6</v>
      </c>
      <c r="I61">
        <v>0.35571824610886532</v>
      </c>
      <c r="J61">
        <v>0.98610291490870372</v>
      </c>
      <c r="K61">
        <v>5.1638375763913313E-6</v>
      </c>
      <c r="L61">
        <v>0.40677335597820968</v>
      </c>
      <c r="M61">
        <v>1.371364324824105E-2</v>
      </c>
      <c r="N61">
        <v>9.8826141154390318E-10</v>
      </c>
      <c r="O61">
        <v>6.4885251680699974E-2</v>
      </c>
      <c r="P61">
        <v>0.42210134288185053</v>
      </c>
      <c r="Q61">
        <v>0</v>
      </c>
      <c r="R61">
        <v>0</v>
      </c>
      <c r="S61">
        <v>8.0697483225642935E-2</v>
      </c>
      <c r="T61">
        <v>0.2054760819631867</v>
      </c>
    </row>
    <row r="62" spans="1:20" x14ac:dyDescent="0.25">
      <c r="A62">
        <v>61</v>
      </c>
      <c r="B62" t="s">
        <v>81</v>
      </c>
      <c r="C62" t="s">
        <v>79</v>
      </c>
      <c r="D62">
        <v>4.5017120502634546E-3</v>
      </c>
      <c r="E62">
        <v>8.9670275223686503E-6</v>
      </c>
      <c r="F62">
        <v>7.2376705929272974E-3</v>
      </c>
      <c r="G62">
        <v>0.163294762357898</v>
      </c>
      <c r="H62">
        <v>3.4377977472024552E-5</v>
      </c>
      <c r="I62">
        <v>0.66008965925213703</v>
      </c>
      <c r="J62">
        <v>0.89741332322805456</v>
      </c>
      <c r="K62">
        <v>6.3165654286622137E-5</v>
      </c>
      <c r="L62">
        <v>0.23193677227549089</v>
      </c>
      <c r="M62">
        <v>5.6907026726402098E-2</v>
      </c>
      <c r="N62">
        <v>1.1239403644732E-8</v>
      </c>
      <c r="O62">
        <v>7.9917281843541868E-2</v>
      </c>
      <c r="P62">
        <v>0.27589106077258141</v>
      </c>
      <c r="Q62">
        <v>0</v>
      </c>
      <c r="R62">
        <v>0</v>
      </c>
      <c r="S62">
        <v>0.1740275205692525</v>
      </c>
      <c r="T62">
        <v>0.3538217985244374</v>
      </c>
    </row>
    <row r="63" spans="1:20" x14ac:dyDescent="0.25">
      <c r="A63">
        <v>62</v>
      </c>
      <c r="B63" t="s">
        <v>82</v>
      </c>
      <c r="C63" t="s">
        <v>79</v>
      </c>
      <c r="D63">
        <v>7.9858099371832617E-4</v>
      </c>
      <c r="E63">
        <v>5.0598762274274074E-7</v>
      </c>
      <c r="F63">
        <v>1.0924317255225991E-3</v>
      </c>
      <c r="G63">
        <v>0.37794965868105818</v>
      </c>
      <c r="H63">
        <v>2.7458057855341942E-6</v>
      </c>
      <c r="I63">
        <v>0.38151810192316038</v>
      </c>
      <c r="J63">
        <v>0.99207861811717757</v>
      </c>
      <c r="K63">
        <v>5.6265808643773486E-6</v>
      </c>
      <c r="L63">
        <v>0.29279032062479898</v>
      </c>
      <c r="M63">
        <v>1.5501456339180821E-2</v>
      </c>
      <c r="N63">
        <v>3.8190785396830129E-10</v>
      </c>
      <c r="O63">
        <v>0.1123541509882712</v>
      </c>
      <c r="P63">
        <v>0.54315419446689006</v>
      </c>
      <c r="Q63">
        <v>0</v>
      </c>
      <c r="R63">
        <v>0</v>
      </c>
      <c r="S63">
        <v>5.7276855577410649E-2</v>
      </c>
      <c r="T63">
        <v>0.2821281844967945</v>
      </c>
    </row>
    <row r="64" spans="1:20" x14ac:dyDescent="0.25">
      <c r="A64">
        <v>63</v>
      </c>
      <c r="B64" t="s">
        <v>83</v>
      </c>
      <c r="C64" t="s">
        <v>84</v>
      </c>
      <c r="D64">
        <v>0.70583639680241672</v>
      </c>
      <c r="E64">
        <v>6.3912333190795659E-2</v>
      </c>
      <c r="F64">
        <v>2.5621044376095161E-2</v>
      </c>
      <c r="G64">
        <v>1.540144389380007E-8</v>
      </c>
      <c r="H64">
        <v>8.0211922054188793E-4</v>
      </c>
      <c r="I64">
        <v>5.6478459431576261E-3</v>
      </c>
      <c r="J64">
        <v>3.2620979981005039E-5</v>
      </c>
      <c r="K64">
        <v>0.88658750965462008</v>
      </c>
      <c r="L64">
        <v>1.7767902576032851E-7</v>
      </c>
      <c r="M64">
        <v>0.22826218283666919</v>
      </c>
      <c r="N64">
        <v>3.420138982908126E-5</v>
      </c>
      <c r="O64">
        <v>4.8036214773725577E-5</v>
      </c>
      <c r="P64">
        <v>1.028602302841994E-6</v>
      </c>
      <c r="Q64">
        <v>0</v>
      </c>
      <c r="R64">
        <v>0</v>
      </c>
      <c r="S64">
        <v>3.1528278352720581E-3</v>
      </c>
      <c r="T64">
        <v>2.1675273216449362E-3</v>
      </c>
    </row>
    <row r="65" spans="1:20" x14ac:dyDescent="0.25">
      <c r="A65">
        <v>64</v>
      </c>
      <c r="B65" t="s">
        <v>85</v>
      </c>
      <c r="C65" t="s">
        <v>84</v>
      </c>
      <c r="D65">
        <v>0.52629220588790948</v>
      </c>
      <c r="E65">
        <v>6.4411893941743861E-2</v>
      </c>
      <c r="F65">
        <v>1.476759534540226E-2</v>
      </c>
      <c r="G65">
        <v>2.428376063634168E-9</v>
      </c>
      <c r="H65">
        <v>5.3776177109245724E-4</v>
      </c>
      <c r="I65">
        <v>2.053655247420167E-3</v>
      </c>
      <c r="J65">
        <v>7.9569551352131522E-6</v>
      </c>
      <c r="K65">
        <v>0.92281188171851691</v>
      </c>
      <c r="L65">
        <v>3.3028701370880858E-8</v>
      </c>
      <c r="M65">
        <v>0.13021319588611791</v>
      </c>
      <c r="N65">
        <v>3.3029632982892933E-5</v>
      </c>
      <c r="O65">
        <v>1.412142762458234E-5</v>
      </c>
      <c r="P65">
        <v>2.103332242843002E-7</v>
      </c>
      <c r="Q65">
        <v>0</v>
      </c>
      <c r="R65">
        <v>0</v>
      </c>
      <c r="S65">
        <v>1.229670813615531E-3</v>
      </c>
      <c r="T65">
        <v>7.6218137939134799E-4</v>
      </c>
    </row>
    <row r="66" spans="1:20" x14ac:dyDescent="0.25">
      <c r="A66">
        <v>65</v>
      </c>
      <c r="B66" t="s">
        <v>86</v>
      </c>
      <c r="C66" t="s">
        <v>84</v>
      </c>
      <c r="D66">
        <v>0.37595813290163738</v>
      </c>
      <c r="E66">
        <v>0.2211130426605005</v>
      </c>
      <c r="F66">
        <v>3.9122603739720041E-2</v>
      </c>
      <c r="G66">
        <v>1.245354462327932E-9</v>
      </c>
      <c r="H66">
        <v>3.6157505525855511E-3</v>
      </c>
      <c r="I66">
        <v>1.2764788419235089E-3</v>
      </c>
      <c r="J66">
        <v>4.6655810698504352E-6</v>
      </c>
      <c r="K66">
        <v>0.97440007854285327</v>
      </c>
      <c r="L66">
        <v>3.8152770453936481E-8</v>
      </c>
      <c r="M66">
        <v>9.0724091557082789E-2</v>
      </c>
      <c r="N66">
        <v>4.3066206286807409E-4</v>
      </c>
      <c r="O66">
        <v>2.4035320937796428E-6</v>
      </c>
      <c r="P66">
        <v>6.1135604828122955E-8</v>
      </c>
      <c r="Q66">
        <v>0</v>
      </c>
      <c r="R66">
        <v>0</v>
      </c>
      <c r="S66">
        <v>2.1952861731230071E-3</v>
      </c>
      <c r="T66">
        <v>2.5313827309073289E-4</v>
      </c>
    </row>
    <row r="67" spans="1:20" x14ac:dyDescent="0.25">
      <c r="A67">
        <v>66</v>
      </c>
      <c r="B67" t="s">
        <v>87</v>
      </c>
      <c r="C67" t="s">
        <v>84</v>
      </c>
      <c r="D67">
        <v>0.58676973229056617</v>
      </c>
      <c r="E67">
        <v>0.13152883933134529</v>
      </c>
      <c r="F67">
        <v>4.0257209694942099E-2</v>
      </c>
      <c r="G67">
        <v>7.4366647049179342E-9</v>
      </c>
      <c r="H67">
        <v>2.1440091865993121E-3</v>
      </c>
      <c r="I67">
        <v>3.6799170561923719E-3</v>
      </c>
      <c r="J67">
        <v>1.8751047167101439E-5</v>
      </c>
      <c r="K67">
        <v>0.98176074044617345</v>
      </c>
      <c r="L67">
        <v>1.3740315902313411E-7</v>
      </c>
      <c r="M67">
        <v>0.1757764126230773</v>
      </c>
      <c r="N67">
        <v>1.4174819802801689E-4</v>
      </c>
      <c r="O67">
        <v>1.494134322596559E-5</v>
      </c>
      <c r="P67">
        <v>3.9040134341234358E-7</v>
      </c>
      <c r="Q67">
        <v>0</v>
      </c>
      <c r="R67">
        <v>0</v>
      </c>
      <c r="S67">
        <v>3.6616222180377049E-3</v>
      </c>
      <c r="T67">
        <v>1.003797326232667E-3</v>
      </c>
    </row>
    <row r="68" spans="1:20" x14ac:dyDescent="0.25">
      <c r="A68">
        <v>67</v>
      </c>
      <c r="B68" t="s">
        <v>88</v>
      </c>
      <c r="C68" t="s">
        <v>84</v>
      </c>
      <c r="D68">
        <v>0.32883464227015452</v>
      </c>
      <c r="E68">
        <v>7.9961004344964323E-2</v>
      </c>
      <c r="F68">
        <v>9.4088447152372891E-3</v>
      </c>
      <c r="G68">
        <v>2.5952603898737151E-10</v>
      </c>
      <c r="H68">
        <v>4.9965017116585344E-4</v>
      </c>
      <c r="I68">
        <v>5.6913816145717517E-4</v>
      </c>
      <c r="J68">
        <v>1.409405462372712E-6</v>
      </c>
      <c r="K68">
        <v>0.90622495995966823</v>
      </c>
      <c r="L68">
        <v>5.0831902251872677E-9</v>
      </c>
      <c r="M68">
        <v>6.0453038680019541E-2</v>
      </c>
      <c r="N68">
        <v>5.3105539036653293E-5</v>
      </c>
      <c r="O68">
        <v>2.3097294959209972E-6</v>
      </c>
      <c r="P68">
        <v>2.619548544863188E-8</v>
      </c>
      <c r="Q68">
        <v>0</v>
      </c>
      <c r="R68">
        <v>0</v>
      </c>
      <c r="S68">
        <v>4.6808572446445167E-4</v>
      </c>
      <c r="T68">
        <v>1.7648554090336999E-4</v>
      </c>
    </row>
    <row r="69" spans="1:20" x14ac:dyDescent="0.25">
      <c r="A69">
        <v>68</v>
      </c>
      <c r="B69" t="s">
        <v>89</v>
      </c>
      <c r="C69" t="s">
        <v>84</v>
      </c>
      <c r="D69">
        <v>0.40469236604957498</v>
      </c>
      <c r="E69">
        <v>0.32078233771891901</v>
      </c>
      <c r="F69">
        <v>8.4461657314605101E-2</v>
      </c>
      <c r="G69">
        <v>4.6548232811126477E-9</v>
      </c>
      <c r="H69">
        <v>9.546997913605788E-3</v>
      </c>
      <c r="I69">
        <v>2.4550688982276159E-3</v>
      </c>
      <c r="J69">
        <v>1.247558325065255E-5</v>
      </c>
      <c r="K69">
        <v>0.90038815307448838</v>
      </c>
      <c r="L69">
        <v>1.651354312038153E-7</v>
      </c>
      <c r="M69">
        <v>0.12243242286259789</v>
      </c>
      <c r="N69">
        <v>1.0467002415314221E-3</v>
      </c>
      <c r="O69">
        <v>3.5012979960088868E-6</v>
      </c>
      <c r="P69">
        <v>1.4838253510722949E-7</v>
      </c>
      <c r="Q69">
        <v>0</v>
      </c>
      <c r="R69">
        <v>0</v>
      </c>
      <c r="S69">
        <v>5.7960593447664004E-3</v>
      </c>
      <c r="T69">
        <v>4.0047515881879618E-4</v>
      </c>
    </row>
    <row r="70" spans="1:20" x14ac:dyDescent="0.25">
      <c r="A70">
        <v>69</v>
      </c>
      <c r="B70" t="s">
        <v>90</v>
      </c>
      <c r="C70" t="s">
        <v>84</v>
      </c>
      <c r="D70">
        <v>0.26974008267816318</v>
      </c>
      <c r="E70">
        <v>0.34040263234614793</v>
      </c>
      <c r="F70">
        <v>4.9660820887949687E-2</v>
      </c>
      <c r="G70">
        <v>6.252028478107398E-10</v>
      </c>
      <c r="H70">
        <v>7.1934423034485601E-3</v>
      </c>
      <c r="I70">
        <v>7.8154801935577595E-4</v>
      </c>
      <c r="J70">
        <v>2.63860372269139E-6</v>
      </c>
      <c r="K70">
        <v>0.87467574838875295</v>
      </c>
      <c r="L70">
        <v>2.8462633203905319E-8</v>
      </c>
      <c r="M70">
        <v>6.2121036539297243E-2</v>
      </c>
      <c r="N70">
        <v>1.2199587376287831E-3</v>
      </c>
      <c r="O70">
        <v>7.8751765667536697E-7</v>
      </c>
      <c r="P70">
        <v>2.444296955248384E-8</v>
      </c>
      <c r="Q70">
        <v>0</v>
      </c>
      <c r="R70">
        <v>0</v>
      </c>
      <c r="S70">
        <v>2.206649349611282E-3</v>
      </c>
      <c r="T70">
        <v>1.1557745811804719E-4</v>
      </c>
    </row>
    <row r="71" spans="1:20" x14ac:dyDescent="0.25">
      <c r="A71">
        <v>70</v>
      </c>
      <c r="B71" t="s">
        <v>91</v>
      </c>
      <c r="C71" t="s">
        <v>92</v>
      </c>
      <c r="D71">
        <v>1.092321607146677E-4</v>
      </c>
      <c r="E71">
        <v>5.4643014108398897E-7</v>
      </c>
      <c r="F71">
        <v>1.930565065676621E-3</v>
      </c>
      <c r="G71">
        <v>0.3834874808294863</v>
      </c>
      <c r="H71">
        <v>1.7299931487788329E-5</v>
      </c>
      <c r="I71">
        <v>0.13481580644157201</v>
      </c>
      <c r="J71">
        <v>0.61294455564166672</v>
      </c>
      <c r="K71">
        <v>8.4290234112760703E-7</v>
      </c>
      <c r="L71">
        <v>0.85278050484168877</v>
      </c>
      <c r="M71">
        <v>3.1562705530318608E-3</v>
      </c>
      <c r="N71">
        <v>3.8973430957573347E-9</v>
      </c>
      <c r="O71">
        <v>6.8040999001198962E-3</v>
      </c>
      <c r="P71">
        <v>0.1426430494455545</v>
      </c>
      <c r="Q71">
        <v>0</v>
      </c>
      <c r="R71">
        <v>0</v>
      </c>
      <c r="S71">
        <v>0.10081586805835881</v>
      </c>
      <c r="T71">
        <v>3.7902374601606448E-2</v>
      </c>
    </row>
    <row r="72" spans="1:20" x14ac:dyDescent="0.25">
      <c r="A72">
        <v>71</v>
      </c>
      <c r="B72" t="s">
        <v>93</v>
      </c>
      <c r="C72" t="s">
        <v>92</v>
      </c>
      <c r="D72">
        <v>8.9510045748627852E-8</v>
      </c>
      <c r="E72">
        <v>1.473631969487611E-10</v>
      </c>
      <c r="F72">
        <v>7.2279223161172106E-6</v>
      </c>
      <c r="G72">
        <v>0.51328124344407444</v>
      </c>
      <c r="H72">
        <v>3.8256326732091317E-8</v>
      </c>
      <c r="I72">
        <v>3.3857949666821589E-3</v>
      </c>
      <c r="J72">
        <v>0.103635734510916</v>
      </c>
      <c r="K72">
        <v>1.5110789769224409E-10</v>
      </c>
      <c r="L72">
        <v>0.61581600346410814</v>
      </c>
      <c r="M72">
        <v>9.3217228597317459E-6</v>
      </c>
      <c r="N72">
        <v>1.7185756084096511E-12</v>
      </c>
      <c r="O72">
        <v>3.5955257486981892E-4</v>
      </c>
      <c r="P72">
        <v>4.8426166683362117E-2</v>
      </c>
      <c r="Q72">
        <v>0</v>
      </c>
      <c r="R72">
        <v>0</v>
      </c>
      <c r="S72">
        <v>2.2673469980926471E-3</v>
      </c>
      <c r="T72">
        <v>9.7739907097989091E-4</v>
      </c>
    </row>
    <row r="73" spans="1:20" x14ac:dyDescent="0.25">
      <c r="A73">
        <v>72</v>
      </c>
      <c r="B73" t="s">
        <v>94</v>
      </c>
      <c r="C73" t="s">
        <v>92</v>
      </c>
      <c r="D73">
        <v>7.6120656040675836E-6</v>
      </c>
      <c r="E73">
        <v>2.1157715983115651E-8</v>
      </c>
      <c r="F73">
        <v>2.265029365174558E-4</v>
      </c>
      <c r="G73">
        <v>0.58458192759483352</v>
      </c>
      <c r="H73">
        <v>1.513077984520993E-6</v>
      </c>
      <c r="I73">
        <v>3.910730249930839E-2</v>
      </c>
      <c r="J73">
        <v>0.39295699957677582</v>
      </c>
      <c r="K73">
        <v>3.0355441643788849E-8</v>
      </c>
      <c r="L73">
        <v>0.94262757877397052</v>
      </c>
      <c r="M73">
        <v>3.7443401479184531E-4</v>
      </c>
      <c r="N73">
        <v>1.658143556958392E-10</v>
      </c>
      <c r="O73">
        <v>2.9839645875483121E-3</v>
      </c>
      <c r="P73">
        <v>0.12918682396953049</v>
      </c>
      <c r="Q73">
        <v>0</v>
      </c>
      <c r="R73">
        <v>0</v>
      </c>
      <c r="S73">
        <v>2.56327781294617E-2</v>
      </c>
      <c r="T73">
        <v>1.169955934284842E-2</v>
      </c>
    </row>
    <row r="74" spans="1:20" x14ac:dyDescent="0.25">
      <c r="A74">
        <v>73</v>
      </c>
      <c r="B74" t="s">
        <v>95</v>
      </c>
      <c r="C74" t="s">
        <v>92</v>
      </c>
      <c r="D74">
        <v>5.1163081571266693E-5</v>
      </c>
      <c r="E74">
        <v>4.5594064013711526E-6</v>
      </c>
      <c r="F74">
        <v>8.4689871766016125E-3</v>
      </c>
      <c r="G74">
        <v>5.9877242941902137E-2</v>
      </c>
      <c r="H74">
        <v>4.1528979254495452E-4</v>
      </c>
      <c r="I74">
        <v>3.8961922539223218E-2</v>
      </c>
      <c r="J74">
        <v>0.14008029657541879</v>
      </c>
      <c r="K74">
        <v>8.8046796389138583E-7</v>
      </c>
      <c r="L74">
        <v>0.59240056282976161</v>
      </c>
      <c r="M74">
        <v>1.295046711525629E-3</v>
      </c>
      <c r="N74">
        <v>3.4101832340942621E-7</v>
      </c>
      <c r="O74">
        <v>1.8483461514042179E-4</v>
      </c>
      <c r="P74">
        <v>8.8734397965891457E-3</v>
      </c>
      <c r="Q74">
        <v>0</v>
      </c>
      <c r="R74">
        <v>0</v>
      </c>
      <c r="S74">
        <v>0.19327609063440551</v>
      </c>
      <c r="T74">
        <v>3.569427776453886E-3</v>
      </c>
    </row>
    <row r="75" spans="1:20" x14ac:dyDescent="0.25">
      <c r="A75">
        <v>74</v>
      </c>
      <c r="B75" t="s">
        <v>96</v>
      </c>
      <c r="C75" t="s">
        <v>92</v>
      </c>
      <c r="D75">
        <v>1.926921063600501E-7</v>
      </c>
      <c r="E75">
        <v>3.7896244793585558E-10</v>
      </c>
      <c r="F75">
        <v>1.423226660104876E-5</v>
      </c>
      <c r="G75">
        <v>0.53081276239533004</v>
      </c>
      <c r="H75">
        <v>8.2636861815878757E-8</v>
      </c>
      <c r="I75">
        <v>5.1955275948725047E-3</v>
      </c>
      <c r="J75">
        <v>0.1318055547248736</v>
      </c>
      <c r="K75">
        <v>3.8363897941951782E-10</v>
      </c>
      <c r="L75">
        <v>0.70106406442628</v>
      </c>
      <c r="M75">
        <v>1.7698592363956249E-5</v>
      </c>
      <c r="N75">
        <v>4.4713587327150741E-12</v>
      </c>
      <c r="O75">
        <v>4.8452981664245742E-4</v>
      </c>
      <c r="P75">
        <v>5.5787984474326917E-2</v>
      </c>
      <c r="Q75">
        <v>0</v>
      </c>
      <c r="R75">
        <v>0</v>
      </c>
      <c r="S75">
        <v>3.685854597157708E-3</v>
      </c>
      <c r="T75">
        <v>1.454820923448311E-3</v>
      </c>
    </row>
    <row r="76" spans="1:20" x14ac:dyDescent="0.25">
      <c r="A76">
        <v>75</v>
      </c>
      <c r="B76" t="s">
        <v>97</v>
      </c>
      <c r="C76" t="s">
        <v>92</v>
      </c>
      <c r="D76">
        <v>1.2274686254854449E-4</v>
      </c>
      <c r="E76">
        <v>5.5201739852045882E-6</v>
      </c>
      <c r="F76">
        <v>9.5647695707286474E-3</v>
      </c>
      <c r="G76">
        <v>9.729699096212896E-2</v>
      </c>
      <c r="H76">
        <v>3.0950634424099322E-4</v>
      </c>
      <c r="I76">
        <v>7.7518412422458161E-2</v>
      </c>
      <c r="J76">
        <v>0.24875758975717929</v>
      </c>
      <c r="K76">
        <v>1.9546699436228721E-6</v>
      </c>
      <c r="L76">
        <v>0.67791782065518991</v>
      </c>
      <c r="M76">
        <v>2.8584417636249959E-3</v>
      </c>
      <c r="N76">
        <v>2.073999518977794E-7</v>
      </c>
      <c r="O76">
        <v>6.5496982553280459E-4</v>
      </c>
      <c r="P76">
        <v>2.107597415777359E-2</v>
      </c>
      <c r="Q76">
        <v>0</v>
      </c>
      <c r="R76">
        <v>0</v>
      </c>
      <c r="S76">
        <v>0.23158084890553471</v>
      </c>
      <c r="T76">
        <v>9.6261988428104628E-3</v>
      </c>
    </row>
    <row r="77" spans="1:20" x14ac:dyDescent="0.25">
      <c r="A77">
        <v>76</v>
      </c>
      <c r="B77" t="s">
        <v>98</v>
      </c>
      <c r="C77" t="s">
        <v>92</v>
      </c>
      <c r="D77">
        <v>1.3042696809064819E-7</v>
      </c>
      <c r="E77">
        <v>2.36497271292284E-10</v>
      </c>
      <c r="F77">
        <v>1.016128252330246E-5</v>
      </c>
      <c r="G77">
        <v>0.52111601630331572</v>
      </c>
      <c r="H77">
        <v>5.659484776183067E-8</v>
      </c>
      <c r="I77">
        <v>4.1757719122962117E-3</v>
      </c>
      <c r="J77">
        <v>0.11653816039282359</v>
      </c>
      <c r="K77">
        <v>2.3928504438872072E-10</v>
      </c>
      <c r="L77">
        <v>0.6585631592477984</v>
      </c>
      <c r="M77">
        <v>1.2770025779478649E-5</v>
      </c>
      <c r="N77">
        <v>2.7962223089551519E-12</v>
      </c>
      <c r="O77">
        <v>4.1286670530250229E-4</v>
      </c>
      <c r="P77">
        <v>5.1659480878877062E-2</v>
      </c>
      <c r="Q77">
        <v>0</v>
      </c>
      <c r="R77">
        <v>0</v>
      </c>
      <c r="S77">
        <v>2.8948517926393942E-3</v>
      </c>
      <c r="T77">
        <v>1.183115236084077E-3</v>
      </c>
    </row>
    <row r="78" spans="1:20" x14ac:dyDescent="0.25">
      <c r="A78">
        <v>77</v>
      </c>
      <c r="B78" t="s">
        <v>99</v>
      </c>
      <c r="C78" t="s">
        <v>92</v>
      </c>
      <c r="D78">
        <v>1.450243373776386E-6</v>
      </c>
      <c r="E78">
        <v>1.290869095362248E-8</v>
      </c>
      <c r="F78">
        <v>1.769012202456937E-4</v>
      </c>
      <c r="G78">
        <v>0.3149520315109392</v>
      </c>
      <c r="H78">
        <v>2.4142517456560508E-6</v>
      </c>
      <c r="I78">
        <v>1.220098311876891E-2</v>
      </c>
      <c r="J78">
        <v>0.16408509720816569</v>
      </c>
      <c r="K78">
        <v>6.182320582697787E-9</v>
      </c>
      <c r="L78">
        <v>0.9203077828198879</v>
      </c>
      <c r="M78">
        <v>8.7860113959059043E-5</v>
      </c>
      <c r="N78">
        <v>3.5213039402244452E-10</v>
      </c>
      <c r="O78">
        <v>3.454323290276368E-4</v>
      </c>
      <c r="P78">
        <v>3.3233041576056638E-2</v>
      </c>
      <c r="Q78">
        <v>0</v>
      </c>
      <c r="R78">
        <v>0</v>
      </c>
      <c r="S78">
        <v>1.9601219049550311E-2</v>
      </c>
      <c r="T78">
        <v>2.1280390550276278E-3</v>
      </c>
    </row>
    <row r="79" spans="1:20" x14ac:dyDescent="0.25">
      <c r="A79">
        <v>78</v>
      </c>
      <c r="B79" t="s">
        <v>100</v>
      </c>
      <c r="C79" t="s">
        <v>92</v>
      </c>
      <c r="D79">
        <v>3.6952164641570012E-5</v>
      </c>
      <c r="E79">
        <v>1.54144707936651E-7</v>
      </c>
      <c r="F79">
        <v>8.5690130075633593E-4</v>
      </c>
      <c r="G79">
        <v>0.46540139488559268</v>
      </c>
      <c r="H79">
        <v>7.0544266401185912E-6</v>
      </c>
      <c r="I79">
        <v>8.2360832760601202E-2</v>
      </c>
      <c r="J79">
        <v>0.52056638313728243</v>
      </c>
      <c r="K79">
        <v>2.198109255326744E-7</v>
      </c>
      <c r="L79">
        <v>0.9352649368920174</v>
      </c>
      <c r="M79">
        <v>1.332596051644065E-3</v>
      </c>
      <c r="N79">
        <v>1.207816657967029E-9</v>
      </c>
      <c r="O79">
        <v>4.6864505980129187E-3</v>
      </c>
      <c r="P79">
        <v>0.1360246875473283</v>
      </c>
      <c r="Q79">
        <v>0</v>
      </c>
      <c r="R79">
        <v>0</v>
      </c>
      <c r="S79">
        <v>6.085599892550965E-2</v>
      </c>
      <c r="T79">
        <v>2.3163300137693549E-2</v>
      </c>
    </row>
    <row r="80" spans="1:20" x14ac:dyDescent="0.25">
      <c r="A80">
        <v>79</v>
      </c>
      <c r="B80" t="s">
        <v>101</v>
      </c>
      <c r="C80" t="s">
        <v>92</v>
      </c>
      <c r="D80">
        <v>6.6374432876303293E-4</v>
      </c>
      <c r="E80">
        <v>1.366563752793295E-5</v>
      </c>
      <c r="F80">
        <v>1.5587822989951599E-2</v>
      </c>
      <c r="G80">
        <v>0.12510352362632449</v>
      </c>
      <c r="H80">
        <v>3.0800502793820679E-4</v>
      </c>
      <c r="I80">
        <v>0.2136832707950137</v>
      </c>
      <c r="J80">
        <v>0.465190478462713</v>
      </c>
      <c r="K80">
        <v>1.1488736685614471E-5</v>
      </c>
      <c r="L80">
        <v>0.58737514972714489</v>
      </c>
      <c r="M80">
        <v>1.17969269764625E-2</v>
      </c>
      <c r="N80">
        <v>1.916696668553046E-7</v>
      </c>
      <c r="O80">
        <v>3.5757615068216452E-3</v>
      </c>
      <c r="P80">
        <v>5.3443389358157782E-2</v>
      </c>
      <c r="Q80">
        <v>0</v>
      </c>
      <c r="R80">
        <v>0</v>
      </c>
      <c r="S80">
        <v>0.32749207105619788</v>
      </c>
      <c r="T80">
        <v>3.9792629602569449E-2</v>
      </c>
    </row>
    <row r="81" spans="1:20" x14ac:dyDescent="0.25">
      <c r="A81">
        <v>80</v>
      </c>
      <c r="B81" t="s">
        <v>102</v>
      </c>
      <c r="C81" t="s">
        <v>103</v>
      </c>
      <c r="D81">
        <v>0.38049532839218592</v>
      </c>
      <c r="E81">
        <v>1.713611767163352E-3</v>
      </c>
      <c r="F81">
        <v>4.419478787003156E-2</v>
      </c>
      <c r="G81">
        <v>7.2199959915160926E-4</v>
      </c>
      <c r="H81">
        <v>2.8460094908305513E-4</v>
      </c>
      <c r="I81">
        <v>0.57978273809316883</v>
      </c>
      <c r="J81">
        <v>6.1372782236470073E-2</v>
      </c>
      <c r="K81">
        <v>3.5122595504334227E-2</v>
      </c>
      <c r="L81">
        <v>1.655633781200206E-3</v>
      </c>
      <c r="M81">
        <v>0.85908477143483875</v>
      </c>
      <c r="N81">
        <v>6.1610497693156849E-7</v>
      </c>
      <c r="O81">
        <v>4.5251062108127522E-2</v>
      </c>
      <c r="P81">
        <v>9.9942670174533437E-3</v>
      </c>
      <c r="Q81">
        <v>0</v>
      </c>
      <c r="R81">
        <v>0</v>
      </c>
      <c r="S81">
        <v>0.1118349654119945</v>
      </c>
      <c r="T81">
        <v>0.39447788381206572</v>
      </c>
    </row>
    <row r="82" spans="1:20" x14ac:dyDescent="0.25">
      <c r="A82">
        <v>81</v>
      </c>
      <c r="B82" t="s">
        <v>104</v>
      </c>
      <c r="C82" t="s">
        <v>103</v>
      </c>
      <c r="D82">
        <v>0.66319500212168792</v>
      </c>
      <c r="E82">
        <v>1.9271939998343581E-3</v>
      </c>
      <c r="F82">
        <v>1.184771133745947E-2</v>
      </c>
      <c r="G82">
        <v>1.679061003766627E-5</v>
      </c>
      <c r="H82">
        <v>5.4210481019482598E-5</v>
      </c>
      <c r="I82">
        <v>0.13579179282061521</v>
      </c>
      <c r="J82">
        <v>4.6339419230082618E-3</v>
      </c>
      <c r="K82">
        <v>0.1179758094406677</v>
      </c>
      <c r="L82">
        <v>3.1501668200347337E-5</v>
      </c>
      <c r="M82">
        <v>0.69241862911190799</v>
      </c>
      <c r="N82">
        <v>1.971944756556713E-7</v>
      </c>
      <c r="O82">
        <v>1.6924584221319369E-2</v>
      </c>
      <c r="P82">
        <v>8.1145543322058385E-4</v>
      </c>
      <c r="Q82">
        <v>0</v>
      </c>
      <c r="R82">
        <v>0</v>
      </c>
      <c r="S82">
        <v>1.318609670198637E-2</v>
      </c>
      <c r="T82">
        <v>0.14227975534307991</v>
      </c>
    </row>
    <row r="83" spans="1:20" x14ac:dyDescent="0.25">
      <c r="A83">
        <v>82</v>
      </c>
      <c r="B83" t="s">
        <v>105</v>
      </c>
      <c r="C83" t="s">
        <v>103</v>
      </c>
      <c r="D83">
        <v>0.39420528457603538</v>
      </c>
      <c r="E83">
        <v>0.21184883552379449</v>
      </c>
      <c r="F83">
        <v>0.57681326503105412</v>
      </c>
      <c r="G83">
        <v>3.806562628255098E-6</v>
      </c>
      <c r="H83">
        <v>5.8570065835803632E-2</v>
      </c>
      <c r="I83">
        <v>5.4183383307606039E-2</v>
      </c>
      <c r="J83">
        <v>1.578892557470876E-3</v>
      </c>
      <c r="K83">
        <v>0.25107971354269032</v>
      </c>
      <c r="L83">
        <v>1.062090262612127E-4</v>
      </c>
      <c r="M83">
        <v>0.3881331630695819</v>
      </c>
      <c r="N83">
        <v>1.885218022069824E-3</v>
      </c>
      <c r="O83">
        <v>9.0676303027454743E-5</v>
      </c>
      <c r="P83">
        <v>2.690698246890662E-5</v>
      </c>
      <c r="Q83">
        <v>0</v>
      </c>
      <c r="R83">
        <v>0</v>
      </c>
      <c r="S83">
        <v>0.1779010790870951</v>
      </c>
      <c r="T83">
        <v>7.0068037224822518E-3</v>
      </c>
    </row>
    <row r="84" spans="1:20" x14ac:dyDescent="0.25">
      <c r="A84">
        <v>83</v>
      </c>
      <c r="B84" t="s">
        <v>106</v>
      </c>
      <c r="C84" t="s">
        <v>103</v>
      </c>
      <c r="D84">
        <v>0.70701793087611864</v>
      </c>
      <c r="E84">
        <v>2.253948710568815E-2</v>
      </c>
      <c r="F84">
        <v>0.16467937342598529</v>
      </c>
      <c r="G84">
        <v>5.6934718464278272E-5</v>
      </c>
      <c r="H84">
        <v>3.2186699691136018E-3</v>
      </c>
      <c r="I84">
        <v>0.25324662320637231</v>
      </c>
      <c r="J84">
        <v>1.2191073042579371E-2</v>
      </c>
      <c r="K84">
        <v>0.17109189199755259</v>
      </c>
      <c r="L84">
        <v>3.6517267307464548E-4</v>
      </c>
      <c r="M84">
        <v>0.95294737174667743</v>
      </c>
      <c r="N84">
        <v>2.4665398949274961E-5</v>
      </c>
      <c r="O84">
        <v>4.2016578702339926E-3</v>
      </c>
      <c r="P84">
        <v>7.6648367513626795E-4</v>
      </c>
      <c r="Q84">
        <v>0</v>
      </c>
      <c r="R84">
        <v>0</v>
      </c>
      <c r="S84">
        <v>0.1426045627245375</v>
      </c>
      <c r="T84">
        <v>9.2561879666957739E-2</v>
      </c>
    </row>
    <row r="85" spans="1:20" x14ac:dyDescent="0.25">
      <c r="A85">
        <v>84</v>
      </c>
      <c r="B85" t="s">
        <v>107</v>
      </c>
      <c r="C85" t="s">
        <v>103</v>
      </c>
      <c r="D85">
        <v>0.39701800734825338</v>
      </c>
      <c r="E85">
        <v>6.0744355214693857E-4</v>
      </c>
      <c r="F85">
        <v>1.1332682262508441E-2</v>
      </c>
      <c r="G85">
        <v>2.1764995149250801E-4</v>
      </c>
      <c r="H85">
        <v>3.7425634807422979E-5</v>
      </c>
      <c r="I85">
        <v>0.33661927687586668</v>
      </c>
      <c r="J85">
        <v>2.5296196133044239E-2</v>
      </c>
      <c r="K85">
        <v>3.6147173324257702E-2</v>
      </c>
      <c r="L85">
        <v>2.8800494302036911E-4</v>
      </c>
      <c r="M85">
        <v>0.70357061622213346</v>
      </c>
      <c r="N85">
        <v>6.4960617331587719E-8</v>
      </c>
      <c r="O85">
        <v>6.6343589951963711E-2</v>
      </c>
      <c r="P85">
        <v>6.4061856157943582E-3</v>
      </c>
      <c r="Q85">
        <v>0</v>
      </c>
      <c r="R85">
        <v>0</v>
      </c>
      <c r="S85">
        <v>2.7579864919792928E-2</v>
      </c>
      <c r="T85">
        <v>0.3839460808875102</v>
      </c>
    </row>
    <row r="86" spans="1:20" x14ac:dyDescent="0.25">
      <c r="A86">
        <v>85</v>
      </c>
      <c r="B86" t="s">
        <v>108</v>
      </c>
      <c r="C86" t="s">
        <v>103</v>
      </c>
      <c r="D86">
        <v>0.324167856918544</v>
      </c>
      <c r="E86">
        <v>0.1548074476926517</v>
      </c>
      <c r="F86">
        <v>0.66847543908237028</v>
      </c>
      <c r="G86">
        <v>1.169303254738665E-5</v>
      </c>
      <c r="H86">
        <v>6.4820831398343104E-2</v>
      </c>
      <c r="I86">
        <v>8.2036974599780196E-2</v>
      </c>
      <c r="J86">
        <v>3.3623006039848278E-3</v>
      </c>
      <c r="K86">
        <v>0.16019809203301899</v>
      </c>
      <c r="L86">
        <v>3.0459531465232617E-4</v>
      </c>
      <c r="M86">
        <v>0.40174658630520771</v>
      </c>
      <c r="N86">
        <v>1.614849749803019E-3</v>
      </c>
      <c r="O86">
        <v>1.4668337200866169E-4</v>
      </c>
      <c r="P86">
        <v>6.2628230813110958E-5</v>
      </c>
      <c r="Q86">
        <v>0</v>
      </c>
      <c r="R86">
        <v>0</v>
      </c>
      <c r="S86">
        <v>0.2790970795717212</v>
      </c>
      <c r="T86">
        <v>1.031407421628615E-2</v>
      </c>
    </row>
    <row r="87" spans="1:20" x14ac:dyDescent="0.25">
      <c r="A87">
        <v>86</v>
      </c>
      <c r="B87" t="s">
        <v>109</v>
      </c>
      <c r="C87" t="s">
        <v>103</v>
      </c>
      <c r="D87">
        <v>0.20419656874017211</v>
      </c>
      <c r="E87">
        <v>1.2998121305772941E-4</v>
      </c>
      <c r="F87">
        <v>5.0554369276254747E-3</v>
      </c>
      <c r="G87">
        <v>7.5743425580739943E-4</v>
      </c>
      <c r="H87">
        <v>1.024541820637978E-5</v>
      </c>
      <c r="I87">
        <v>0.41697809049504497</v>
      </c>
      <c r="J87">
        <v>5.0755505080920027E-2</v>
      </c>
      <c r="K87">
        <v>1.107567556056516E-2</v>
      </c>
      <c r="L87">
        <v>6.3031042330419641E-4</v>
      </c>
      <c r="M87">
        <v>0.4977007450313411</v>
      </c>
      <c r="N87">
        <v>9.3242888114655413E-9</v>
      </c>
      <c r="O87">
        <v>0.16252058796587349</v>
      </c>
      <c r="P87">
        <v>1.9964387720609839E-2</v>
      </c>
      <c r="Q87">
        <v>0</v>
      </c>
      <c r="R87">
        <v>0</v>
      </c>
      <c r="S87">
        <v>2.209130925620666E-2</v>
      </c>
      <c r="T87">
        <v>0.61041270213307597</v>
      </c>
    </row>
    <row r="88" spans="1:20" x14ac:dyDescent="0.25">
      <c r="A88">
        <v>87</v>
      </c>
      <c r="B88" t="s">
        <v>110</v>
      </c>
      <c r="C88" t="s">
        <v>103</v>
      </c>
      <c r="D88">
        <v>0.50409244423911947</v>
      </c>
      <c r="E88">
        <v>1.419405064101129E-3</v>
      </c>
      <c r="F88">
        <v>2.1145700665496231E-2</v>
      </c>
      <c r="G88">
        <v>1.6884831711326271E-4</v>
      </c>
      <c r="H88">
        <v>9.9609140559105426E-5</v>
      </c>
      <c r="I88">
        <v>0.34200327446798429</v>
      </c>
      <c r="J88">
        <v>2.2853300641159029E-2</v>
      </c>
      <c r="K88">
        <v>5.6903750932896381E-2</v>
      </c>
      <c r="L88">
        <v>3.0697249357189822E-4</v>
      </c>
      <c r="M88">
        <v>0.82966134372583167</v>
      </c>
      <c r="N88">
        <v>2.370105711208705E-7</v>
      </c>
      <c r="O88">
        <v>4.1108760093186161E-2</v>
      </c>
      <c r="P88">
        <v>4.3616538486934558E-3</v>
      </c>
      <c r="Q88">
        <v>0</v>
      </c>
      <c r="R88">
        <v>0</v>
      </c>
      <c r="S88">
        <v>4.0877775685388931E-2</v>
      </c>
      <c r="T88">
        <v>0.31232290070377722</v>
      </c>
    </row>
    <row r="89" spans="1:20" x14ac:dyDescent="0.25">
      <c r="A89">
        <v>88</v>
      </c>
      <c r="B89" t="s">
        <v>111</v>
      </c>
      <c r="C89" t="s">
        <v>103</v>
      </c>
      <c r="D89">
        <v>0.63079657782769583</v>
      </c>
      <c r="E89">
        <v>4.4631647225667058E-2</v>
      </c>
      <c r="F89">
        <v>0.27869113899202358</v>
      </c>
      <c r="G89">
        <v>3.9842721260874718E-5</v>
      </c>
      <c r="H89">
        <v>8.7295607956174946E-3</v>
      </c>
      <c r="I89">
        <v>0.2033696570111671</v>
      </c>
      <c r="J89">
        <v>9.3215307933514728E-3</v>
      </c>
      <c r="K89">
        <v>0.18858231890999769</v>
      </c>
      <c r="L89">
        <v>3.8616099233360502E-4</v>
      </c>
      <c r="M89">
        <v>0.82852178140978028</v>
      </c>
      <c r="N89">
        <v>9.4765930561040718E-5</v>
      </c>
      <c r="O89">
        <v>1.750877678803304E-3</v>
      </c>
      <c r="P89">
        <v>4.0950115170986559E-4</v>
      </c>
      <c r="Q89">
        <v>0</v>
      </c>
      <c r="R89">
        <v>0</v>
      </c>
      <c r="S89">
        <v>0.1944091775085304</v>
      </c>
      <c r="T89">
        <v>5.430288506453114E-2</v>
      </c>
    </row>
    <row r="90" spans="1:20" x14ac:dyDescent="0.25">
      <c r="A90">
        <v>89</v>
      </c>
      <c r="B90" t="s">
        <v>112</v>
      </c>
      <c r="C90" t="s">
        <v>113</v>
      </c>
      <c r="D90">
        <v>5.2612823071047194E-4</v>
      </c>
      <c r="E90">
        <v>0.44990940236475041</v>
      </c>
      <c r="F90">
        <v>1.507149454167875E-2</v>
      </c>
      <c r="G90">
        <v>9.679471906853395E-14</v>
      </c>
      <c r="H90">
        <v>0.10219981822464511</v>
      </c>
      <c r="I90">
        <v>4.9998782698066475E-7</v>
      </c>
      <c r="J90">
        <v>9.801914245345754E-10</v>
      </c>
      <c r="K90">
        <v>1.056703589509549E-2</v>
      </c>
      <c r="L90">
        <v>1.2927504393916371E-10</v>
      </c>
      <c r="M90">
        <v>8.9051239983856014E-5</v>
      </c>
      <c r="N90">
        <v>0.32619721750429409</v>
      </c>
      <c r="O90">
        <v>2.3905799445186138E-12</v>
      </c>
      <c r="P90">
        <v>4.769129642022203E-13</v>
      </c>
      <c r="Q90">
        <v>0</v>
      </c>
      <c r="R90">
        <v>0</v>
      </c>
      <c r="S90">
        <v>1.01827877274438E-4</v>
      </c>
      <c r="T90">
        <v>5.8595855583536708E-9</v>
      </c>
    </row>
    <row r="91" spans="1:20" x14ac:dyDescent="0.25">
      <c r="A91">
        <v>90</v>
      </c>
      <c r="B91" t="s">
        <v>114</v>
      </c>
      <c r="C91" t="s">
        <v>113</v>
      </c>
      <c r="D91">
        <v>9.6209102213104077E-9</v>
      </c>
      <c r="E91">
        <v>9.2808861207009337E-4</v>
      </c>
      <c r="F91">
        <v>4.0575025850523037E-4</v>
      </c>
      <c r="G91">
        <v>1.1808445850938981E-14</v>
      </c>
      <c r="H91">
        <v>5.4478763398865558E-2</v>
      </c>
      <c r="I91">
        <v>5.6847012084395854E-10</v>
      </c>
      <c r="J91">
        <v>1.201133138234764E-11</v>
      </c>
      <c r="K91">
        <v>1.143445629211038E-7</v>
      </c>
      <c r="L91">
        <v>1.7157787172415921E-10</v>
      </c>
      <c r="M91">
        <v>8.5225546630323306E-9</v>
      </c>
      <c r="N91">
        <v>0.26701241908822188</v>
      </c>
      <c r="O91">
        <v>4.3444173465233463E-17</v>
      </c>
      <c r="P91">
        <v>9.2943517210938E-16</v>
      </c>
      <c r="Q91">
        <v>0</v>
      </c>
      <c r="R91">
        <v>0</v>
      </c>
      <c r="S91">
        <v>6.6285211856631372E-6</v>
      </c>
      <c r="T91">
        <v>5.7044344808581805E-13</v>
      </c>
    </row>
    <row r="92" spans="1:20" x14ac:dyDescent="0.25">
      <c r="A92">
        <v>91</v>
      </c>
      <c r="B92" t="s">
        <v>115</v>
      </c>
      <c r="C92" t="s">
        <v>113</v>
      </c>
      <c r="D92">
        <v>8.0274982285980824E-5</v>
      </c>
      <c r="E92">
        <v>0.19076956420169111</v>
      </c>
      <c r="F92">
        <v>3.142502454073838E-2</v>
      </c>
      <c r="G92">
        <v>2.0656065215157009E-12</v>
      </c>
      <c r="H92">
        <v>0.43001303656610479</v>
      </c>
      <c r="I92">
        <v>7.6246373003467969E-7</v>
      </c>
      <c r="J92">
        <v>5.5117373411416829E-9</v>
      </c>
      <c r="K92">
        <v>8.4987801783882881E-4</v>
      </c>
      <c r="L92">
        <v>4.5410394707336304E-9</v>
      </c>
      <c r="M92">
        <v>3.3214364276408467E-5</v>
      </c>
      <c r="N92">
        <v>0.92751843700411096</v>
      </c>
      <c r="O92">
        <v>1.384764098040455E-12</v>
      </c>
      <c r="P92">
        <v>1.961407223011185E-12</v>
      </c>
      <c r="Q92">
        <v>0</v>
      </c>
      <c r="R92">
        <v>0</v>
      </c>
      <c r="S92">
        <v>4.880863249890496E-4</v>
      </c>
      <c r="T92">
        <v>4.4000295313642453E-9</v>
      </c>
    </row>
    <row r="93" spans="1:20" x14ac:dyDescent="0.25">
      <c r="A93">
        <v>92</v>
      </c>
      <c r="B93" t="s">
        <v>116</v>
      </c>
      <c r="C93" t="s">
        <v>113</v>
      </c>
      <c r="D93">
        <v>3.897227714595138E-7</v>
      </c>
      <c r="E93">
        <v>1.1816054964858569E-2</v>
      </c>
      <c r="F93">
        <v>2.392759951270067E-3</v>
      </c>
      <c r="G93">
        <v>3.6689078652123342E-14</v>
      </c>
      <c r="H93">
        <v>0.15345297994652449</v>
      </c>
      <c r="I93">
        <v>6.9198307570369999E-9</v>
      </c>
      <c r="J93">
        <v>7.338158603132376E-11</v>
      </c>
      <c r="K93">
        <v>5.6565175290619617E-6</v>
      </c>
      <c r="L93">
        <v>2.9783254943750222E-10</v>
      </c>
      <c r="M93">
        <v>2.140633764985891E-7</v>
      </c>
      <c r="N93">
        <v>0.72303986890622085</v>
      </c>
      <c r="O93">
        <v>1.4709142367945559E-15</v>
      </c>
      <c r="P93">
        <v>8.8062557103258086E-15</v>
      </c>
      <c r="Q93">
        <v>0</v>
      </c>
      <c r="R93">
        <v>0</v>
      </c>
      <c r="S93">
        <v>2.8867977428632101E-5</v>
      </c>
      <c r="T93">
        <v>1.2984611634842471E-11</v>
      </c>
    </row>
    <row r="94" spans="1:20" x14ac:dyDescent="0.25">
      <c r="A94">
        <v>93</v>
      </c>
      <c r="B94" t="s">
        <v>117</v>
      </c>
      <c r="C94" t="s">
        <v>113</v>
      </c>
      <c r="D94">
        <v>7.4216334603790132E-5</v>
      </c>
      <c r="E94">
        <v>0.23110284977230081</v>
      </c>
      <c r="F94">
        <v>1.0251338076521749E-2</v>
      </c>
      <c r="G94">
        <v>4.4150321033775722E-14</v>
      </c>
      <c r="H94">
        <v>0.15372439184369341</v>
      </c>
      <c r="I94">
        <v>1.2305470697410701E-7</v>
      </c>
      <c r="J94">
        <v>3.3511382415884357E-10</v>
      </c>
      <c r="K94">
        <v>1.5998615719041401E-3</v>
      </c>
      <c r="L94">
        <v>1.140886653048639E-10</v>
      </c>
      <c r="M94">
        <v>1.5885186195049241E-5</v>
      </c>
      <c r="N94">
        <v>0.67189448302145871</v>
      </c>
      <c r="O94">
        <v>1.9558848882601809E-13</v>
      </c>
      <c r="P94">
        <v>9.527092471218912E-14</v>
      </c>
      <c r="Q94">
        <v>0</v>
      </c>
      <c r="R94">
        <v>0</v>
      </c>
      <c r="S94">
        <v>6.7932772307923857E-5</v>
      </c>
      <c r="T94">
        <v>7.9126940693092579E-10</v>
      </c>
    </row>
    <row r="95" spans="1:20" x14ac:dyDescent="0.25">
      <c r="A95">
        <v>94</v>
      </c>
      <c r="B95" t="s">
        <v>118</v>
      </c>
      <c r="C95" t="s">
        <v>113</v>
      </c>
      <c r="D95">
        <v>6.1377949186451421E-5</v>
      </c>
      <c r="E95">
        <v>0.2138507557163164</v>
      </c>
      <c r="F95">
        <v>9.6424878247660939E-3</v>
      </c>
      <c r="G95">
        <v>3.9492498197633962E-14</v>
      </c>
      <c r="H95">
        <v>0.1548546227401027</v>
      </c>
      <c r="I95">
        <v>1.056511413660717E-7</v>
      </c>
      <c r="J95">
        <v>2.9424605980529199E-10</v>
      </c>
      <c r="K95">
        <v>1.336726859523142E-3</v>
      </c>
      <c r="L95">
        <v>1.080941577966745E-10</v>
      </c>
      <c r="M95">
        <v>1.335242694277132E-5</v>
      </c>
      <c r="N95">
        <v>0.69820923743166285</v>
      </c>
      <c r="O95">
        <v>1.5268175963222651E-13</v>
      </c>
      <c r="P95">
        <v>7.9782195333777378E-14</v>
      </c>
      <c r="Q95">
        <v>0</v>
      </c>
      <c r="R95">
        <v>0</v>
      </c>
      <c r="S95">
        <v>6.3473639972182636E-5</v>
      </c>
      <c r="T95">
        <v>6.4570651287508325E-10</v>
      </c>
    </row>
    <row r="96" spans="1:20" x14ac:dyDescent="0.25">
      <c r="A96">
        <v>95</v>
      </c>
      <c r="B96" t="s">
        <v>119</v>
      </c>
      <c r="C96" t="s">
        <v>113</v>
      </c>
      <c r="D96">
        <v>3.2981207102358601E-4</v>
      </c>
      <c r="E96">
        <v>0.39821772561484797</v>
      </c>
      <c r="F96">
        <v>1.6368606023631011E-2</v>
      </c>
      <c r="G96">
        <v>1.213137613086385E-13</v>
      </c>
      <c r="H96">
        <v>0.1381546172951687</v>
      </c>
      <c r="I96">
        <v>4.3365581985050891E-7</v>
      </c>
      <c r="J96">
        <v>1.024535099267862E-9</v>
      </c>
      <c r="K96">
        <v>6.3201297955102487E-3</v>
      </c>
      <c r="L96">
        <v>1.9280459857833519E-10</v>
      </c>
      <c r="M96">
        <v>6.3550724495799359E-5</v>
      </c>
      <c r="N96">
        <v>0.45136417204560342</v>
      </c>
      <c r="O96">
        <v>1.531203973673042E-12</v>
      </c>
      <c r="P96">
        <v>4.3648732561862342E-13</v>
      </c>
      <c r="Q96">
        <v>0</v>
      </c>
      <c r="R96">
        <v>0</v>
      </c>
      <c r="S96">
        <v>1.192069693129004E-4</v>
      </c>
      <c r="T96">
        <v>4.2351368490828479E-9</v>
      </c>
    </row>
    <row r="97" spans="1:20" x14ac:dyDescent="0.25">
      <c r="A97">
        <v>96</v>
      </c>
      <c r="B97" t="s">
        <v>120</v>
      </c>
      <c r="C97" t="s">
        <v>113</v>
      </c>
      <c r="D97">
        <v>3.6994620899480449E-6</v>
      </c>
      <c r="E97">
        <v>6.15776920050859E-2</v>
      </c>
      <c r="F97">
        <v>2.143445810526781E-3</v>
      </c>
      <c r="G97">
        <v>1.7077525679340261E-15</v>
      </c>
      <c r="H97">
        <v>8.7058338879641289E-2</v>
      </c>
      <c r="I97">
        <v>5.5388553396564028E-9</v>
      </c>
      <c r="J97">
        <v>1.4548250324717409E-11</v>
      </c>
      <c r="K97">
        <v>1.189564276442462E-4</v>
      </c>
      <c r="L97">
        <v>1.0496781191421781E-11</v>
      </c>
      <c r="M97">
        <v>7.8476125235614086E-7</v>
      </c>
      <c r="N97">
        <v>0.75954104847303516</v>
      </c>
      <c r="O97">
        <v>2.202629954547808E-15</v>
      </c>
      <c r="P97">
        <v>1.9604258539529908E-15</v>
      </c>
      <c r="Q97">
        <v>0</v>
      </c>
      <c r="R97">
        <v>0</v>
      </c>
      <c r="S97">
        <v>9.5185144779848447E-6</v>
      </c>
      <c r="T97">
        <v>1.8132593356146781E-11</v>
      </c>
    </row>
    <row r="98" spans="1:20" x14ac:dyDescent="0.25">
      <c r="A98">
        <v>97</v>
      </c>
      <c r="B98" t="s">
        <v>121</v>
      </c>
      <c r="C98" t="s">
        <v>113</v>
      </c>
      <c r="D98">
        <v>5.3868056793378123E-8</v>
      </c>
      <c r="E98">
        <v>6.2613863075824594E-3</v>
      </c>
      <c r="F98">
        <v>2.6489508780450701E-4</v>
      </c>
      <c r="G98">
        <v>7.4686859753629209E-17</v>
      </c>
      <c r="H98">
        <v>3.5053767235085437E-2</v>
      </c>
      <c r="I98">
        <v>1.368080563559336E-10</v>
      </c>
      <c r="J98">
        <v>4.9538385860319744E-13</v>
      </c>
      <c r="K98">
        <v>2.1622152269818308E-6</v>
      </c>
      <c r="L98">
        <v>1.2434821088649971E-12</v>
      </c>
      <c r="M98">
        <v>1.4462973493327089E-8</v>
      </c>
      <c r="N98">
        <v>0.54562577090972919</v>
      </c>
      <c r="O98">
        <v>1.055204352531511E-17</v>
      </c>
      <c r="P98">
        <v>2.9206238409286788E-17</v>
      </c>
      <c r="Q98">
        <v>0</v>
      </c>
      <c r="R98">
        <v>0</v>
      </c>
      <c r="S98">
        <v>9.9279407230422727E-7</v>
      </c>
      <c r="T98">
        <v>1.8878048736984919E-13</v>
      </c>
    </row>
    <row r="99" spans="1:20" x14ac:dyDescent="0.25">
      <c r="A99">
        <v>98</v>
      </c>
      <c r="B99" t="s">
        <v>122</v>
      </c>
      <c r="C99" t="s">
        <v>113</v>
      </c>
      <c r="D99">
        <v>6.9860136523687983E-5</v>
      </c>
      <c r="E99">
        <v>0.20887099004219911</v>
      </c>
      <c r="F99">
        <v>1.8223316307678549E-2</v>
      </c>
      <c r="G99">
        <v>2.9773753150192198E-13</v>
      </c>
      <c r="H99">
        <v>0.27663445107434159</v>
      </c>
      <c r="I99">
        <v>2.8871584286375482E-7</v>
      </c>
      <c r="J99">
        <v>1.3120784510445099E-9</v>
      </c>
      <c r="K99">
        <v>1.0608972683911911E-3</v>
      </c>
      <c r="L99">
        <v>7.4472744714743693E-10</v>
      </c>
      <c r="M99">
        <v>2.1148644939305132E-5</v>
      </c>
      <c r="N99">
        <v>0.86916770868543192</v>
      </c>
      <c r="O99">
        <v>4.5259355425526842E-13</v>
      </c>
      <c r="P99">
        <v>4.0125538758612181E-13</v>
      </c>
      <c r="Q99">
        <v>0</v>
      </c>
      <c r="R99">
        <v>0</v>
      </c>
      <c r="S99">
        <v>1.8460777373704469E-4</v>
      </c>
      <c r="T99">
        <v>1.683259862298358E-9</v>
      </c>
    </row>
    <row r="100" spans="1:20" x14ac:dyDescent="0.25">
      <c r="A100">
        <v>99</v>
      </c>
      <c r="B100" t="s">
        <v>123</v>
      </c>
      <c r="C100" t="s">
        <v>113</v>
      </c>
      <c r="D100">
        <v>1.0772910010019939E-4</v>
      </c>
      <c r="E100">
        <v>0.1203450386906476</v>
      </c>
      <c r="F100">
        <v>8.3602175230530582E-2</v>
      </c>
      <c r="G100">
        <v>1.5249515514117439E-10</v>
      </c>
      <c r="H100">
        <v>0.78507451117445204</v>
      </c>
      <c r="I100">
        <v>6.5238157303333331E-6</v>
      </c>
      <c r="J100">
        <v>1.3212580425607339E-7</v>
      </c>
      <c r="K100">
        <v>4.8473273195794102E-4</v>
      </c>
      <c r="L100">
        <v>2.2178990908619729E-7</v>
      </c>
      <c r="M100">
        <v>8.8974915701847565E-5</v>
      </c>
      <c r="N100">
        <v>0.66629572546966265</v>
      </c>
      <c r="O100">
        <v>2.012669699633745E-11</v>
      </c>
      <c r="P100">
        <v>7.3373696701601246E-11</v>
      </c>
      <c r="Q100">
        <v>0</v>
      </c>
      <c r="R100">
        <v>0</v>
      </c>
      <c r="S100">
        <v>3.5395813838800662E-3</v>
      </c>
      <c r="T100">
        <v>4.0670552641302862E-8</v>
      </c>
    </row>
    <row r="101" spans="1:20" x14ac:dyDescent="0.25">
      <c r="A101">
        <v>100</v>
      </c>
      <c r="B101" t="s">
        <v>124</v>
      </c>
      <c r="C101" t="s">
        <v>113</v>
      </c>
      <c r="D101">
        <v>1.0733770093921989E-4</v>
      </c>
      <c r="E101">
        <v>0.12777137539478839</v>
      </c>
      <c r="F101">
        <v>7.8810243779267042E-2</v>
      </c>
      <c r="G101">
        <v>1.091471500834892E-10</v>
      </c>
      <c r="H101">
        <v>0.76398843807729089</v>
      </c>
      <c r="I101">
        <v>5.5784986834800894E-6</v>
      </c>
      <c r="J101">
        <v>1.0377229809328799E-7</v>
      </c>
      <c r="K101">
        <v>5.1844998416633765E-4</v>
      </c>
      <c r="L101">
        <v>1.6435369651619839E-7</v>
      </c>
      <c r="M101">
        <v>8.3737405454175024E-5</v>
      </c>
      <c r="N101">
        <v>0.70062239782015789</v>
      </c>
      <c r="O101">
        <v>1.645725375945239E-11</v>
      </c>
      <c r="P101">
        <v>5.5519924875619593E-11</v>
      </c>
      <c r="Q101">
        <v>0</v>
      </c>
      <c r="R101">
        <v>0</v>
      </c>
      <c r="S101">
        <v>3.0708568974624098E-3</v>
      </c>
      <c r="T101">
        <v>3.4539076599153163E-8</v>
      </c>
    </row>
    <row r="102" spans="1:20" x14ac:dyDescent="0.25">
      <c r="A102">
        <v>101</v>
      </c>
      <c r="B102" t="s">
        <v>125</v>
      </c>
      <c r="C102" t="s">
        <v>113</v>
      </c>
      <c r="D102">
        <v>1.5424919891083819E-7</v>
      </c>
      <c r="E102">
        <v>5.4454442033472069E-3</v>
      </c>
      <c r="F102">
        <v>1.9151284182300529E-3</v>
      </c>
      <c r="G102">
        <v>7.6168985734828848E-14</v>
      </c>
      <c r="H102">
        <v>0.1387071044335039</v>
      </c>
      <c r="I102">
        <v>5.9178183715788158E-9</v>
      </c>
      <c r="J102">
        <v>9.6890481188673901E-11</v>
      </c>
      <c r="K102">
        <v>1.734410892041285E-6</v>
      </c>
      <c r="L102">
        <v>6.6234637872416923E-10</v>
      </c>
      <c r="M102">
        <v>1.138835905659449E-7</v>
      </c>
      <c r="N102">
        <v>0.53216841353708866</v>
      </c>
      <c r="O102">
        <v>1.0650902374527449E-15</v>
      </c>
      <c r="P102">
        <v>1.138798710270147E-14</v>
      </c>
      <c r="Q102">
        <v>0</v>
      </c>
      <c r="R102">
        <v>0</v>
      </c>
      <c r="S102">
        <v>3.1776887087928181E-5</v>
      </c>
      <c r="T102">
        <v>9.4703978942441535E-12</v>
      </c>
    </row>
    <row r="103" spans="1:20" x14ac:dyDescent="0.25">
      <c r="A103">
        <v>102</v>
      </c>
      <c r="B103" t="s">
        <v>126</v>
      </c>
      <c r="C103" t="s">
        <v>113</v>
      </c>
      <c r="D103">
        <v>1.8597203950367679E-4</v>
      </c>
      <c r="E103">
        <v>0.32597790779397312</v>
      </c>
      <c r="F103">
        <v>1.82406599155704E-2</v>
      </c>
      <c r="G103">
        <v>1.867601116821136E-13</v>
      </c>
      <c r="H103">
        <v>0.19596124973926921</v>
      </c>
      <c r="I103">
        <v>3.9105208870790641E-7</v>
      </c>
      <c r="J103">
        <v>1.2080919423438991E-9</v>
      </c>
      <c r="K103">
        <v>3.2403171883380508E-3</v>
      </c>
      <c r="L103">
        <v>3.5765641644032678E-10</v>
      </c>
      <c r="M103">
        <v>4.3126777668504137E-5</v>
      </c>
      <c r="N103">
        <v>0.63030188735186554</v>
      </c>
      <c r="O103">
        <v>9.8896090959900265E-13</v>
      </c>
      <c r="P103">
        <v>4.4907678362530931E-13</v>
      </c>
      <c r="Q103">
        <v>0</v>
      </c>
      <c r="R103">
        <v>0</v>
      </c>
      <c r="S103">
        <v>1.5205519604134549E-4</v>
      </c>
      <c r="T103">
        <v>3.0897570565209871E-9</v>
      </c>
    </row>
    <row r="104" spans="1:20" x14ac:dyDescent="0.25">
      <c r="A104">
        <v>103</v>
      </c>
      <c r="B104" t="s">
        <v>127</v>
      </c>
      <c r="C104" t="s">
        <v>113</v>
      </c>
      <c r="D104">
        <v>2.05221454778606E-4</v>
      </c>
      <c r="E104">
        <v>0.2386494144818686</v>
      </c>
      <c r="F104">
        <v>6.7638002186737503E-2</v>
      </c>
      <c r="G104">
        <v>2.1286723312770871E-11</v>
      </c>
      <c r="H104">
        <v>0.61979506070468227</v>
      </c>
      <c r="I104">
        <v>3.697309705991182E-6</v>
      </c>
      <c r="J104">
        <v>3.7939159505933482E-8</v>
      </c>
      <c r="K104">
        <v>1.465711424760482E-3</v>
      </c>
      <c r="L104">
        <v>3.2097834393053292E-8</v>
      </c>
      <c r="M104">
        <v>1.0695371825164251E-4</v>
      </c>
      <c r="N104">
        <v>0.81087835353241922</v>
      </c>
      <c r="O104">
        <v>1.1751833615500269E-11</v>
      </c>
      <c r="P104">
        <v>1.924063095792706E-11</v>
      </c>
      <c r="Q104">
        <v>0</v>
      </c>
      <c r="R104">
        <v>0</v>
      </c>
      <c r="S104">
        <v>1.6350015850401991E-3</v>
      </c>
      <c r="T104">
        <v>2.6399762116560421E-8</v>
      </c>
    </row>
    <row r="105" spans="1:20" x14ac:dyDescent="0.25">
      <c r="A105">
        <v>104</v>
      </c>
      <c r="B105" t="s">
        <v>128</v>
      </c>
      <c r="C105" t="s">
        <v>113</v>
      </c>
      <c r="D105">
        <v>1.118413186700069E-5</v>
      </c>
      <c r="E105">
        <v>6.7585571130793554E-2</v>
      </c>
      <c r="F105">
        <v>1.534135663379349E-2</v>
      </c>
      <c r="G105">
        <v>9.4832196958620151E-13</v>
      </c>
      <c r="H105">
        <v>0.37475817357855867</v>
      </c>
      <c r="I105">
        <v>1.863491542268841E-7</v>
      </c>
      <c r="J105">
        <v>1.8685163588196389E-9</v>
      </c>
      <c r="K105">
        <v>1.173724699914192E-4</v>
      </c>
      <c r="L105">
        <v>3.3510650251582659E-9</v>
      </c>
      <c r="M105">
        <v>5.8265470488647067E-6</v>
      </c>
      <c r="N105">
        <v>0.95999744434112411</v>
      </c>
      <c r="O105">
        <v>1.51516451658034E-13</v>
      </c>
      <c r="P105">
        <v>4.5545238506085552E-13</v>
      </c>
      <c r="Q105">
        <v>0</v>
      </c>
      <c r="R105">
        <v>0</v>
      </c>
      <c r="S105">
        <v>2.5273409616770472E-4</v>
      </c>
      <c r="T105">
        <v>6.8325956748666788E-10</v>
      </c>
    </row>
    <row r="106" spans="1:20" x14ac:dyDescent="0.25">
      <c r="A106">
        <v>105</v>
      </c>
      <c r="B106" t="s">
        <v>129</v>
      </c>
      <c r="C106" t="s">
        <v>113</v>
      </c>
      <c r="D106">
        <v>8.1090708735986757E-9</v>
      </c>
      <c r="E106">
        <v>6.3634298379454499E-4</v>
      </c>
      <c r="F106">
        <v>4.5592312105679507E-4</v>
      </c>
      <c r="G106">
        <v>3.9953897304238479E-14</v>
      </c>
      <c r="H106">
        <v>5.5527955574991988E-2</v>
      </c>
      <c r="I106">
        <v>9.1139728472843327E-10</v>
      </c>
      <c r="J106">
        <v>2.7554314908500871E-11</v>
      </c>
      <c r="K106">
        <v>7.2476485184735867E-8</v>
      </c>
      <c r="L106">
        <v>5.1761837332119902E-10</v>
      </c>
      <c r="M106">
        <v>9.14002555417644E-9</v>
      </c>
      <c r="N106">
        <v>0.20121540224312229</v>
      </c>
      <c r="O106">
        <v>7.9942269765449882E-17</v>
      </c>
      <c r="P106">
        <v>2.427953146443997E-15</v>
      </c>
      <c r="Q106">
        <v>0</v>
      </c>
      <c r="R106">
        <v>0</v>
      </c>
      <c r="S106">
        <v>1.042600160743303E-5</v>
      </c>
      <c r="T106">
        <v>9.1822733456262822E-13</v>
      </c>
    </row>
    <row r="107" spans="1:20" x14ac:dyDescent="0.25">
      <c r="A107">
        <v>106</v>
      </c>
      <c r="B107" t="s">
        <v>130</v>
      </c>
      <c r="C107" t="s">
        <v>113</v>
      </c>
      <c r="D107">
        <v>9.0775271926459459E-6</v>
      </c>
      <c r="E107">
        <v>5.4948425887236398E-2</v>
      </c>
      <c r="F107">
        <v>1.6079127469560549E-2</v>
      </c>
      <c r="G107">
        <v>1.61956513849026E-12</v>
      </c>
      <c r="H107">
        <v>0.39864104000512668</v>
      </c>
      <c r="I107">
        <v>2.1360461708260321E-7</v>
      </c>
      <c r="J107">
        <v>2.5997497553058572E-9</v>
      </c>
      <c r="K107">
        <v>8.3758120809761439E-5</v>
      </c>
      <c r="L107">
        <v>5.703006618369091E-9</v>
      </c>
      <c r="M107">
        <v>5.3928132416871668E-6</v>
      </c>
      <c r="N107">
        <v>0.90743484082613779</v>
      </c>
      <c r="O107">
        <v>1.7034298321691209E-13</v>
      </c>
      <c r="P107">
        <v>6.4652235716208608E-13</v>
      </c>
      <c r="Q107">
        <v>0</v>
      </c>
      <c r="R107">
        <v>0</v>
      </c>
      <c r="S107">
        <v>3.0986095574260682E-4</v>
      </c>
      <c r="T107">
        <v>7.494578920950836E-10</v>
      </c>
    </row>
    <row r="108" spans="1:20" x14ac:dyDescent="0.25">
      <c r="A108">
        <v>107</v>
      </c>
      <c r="B108" t="s">
        <v>131</v>
      </c>
      <c r="C108" t="s">
        <v>113</v>
      </c>
      <c r="D108">
        <v>9.4844685824229963E-7</v>
      </c>
      <c r="E108">
        <v>1.841101144337268E-2</v>
      </c>
      <c r="F108">
        <v>4.2202151951469414E-3</v>
      </c>
      <c r="G108">
        <v>1.136806989755642E-13</v>
      </c>
      <c r="H108">
        <v>0.20830490435119239</v>
      </c>
      <c r="I108">
        <v>1.8759318577373879E-8</v>
      </c>
      <c r="J108">
        <v>2.101707187509158E-10</v>
      </c>
      <c r="K108">
        <v>1.200858865183383E-5</v>
      </c>
      <c r="L108">
        <v>7.3210002662010353E-10</v>
      </c>
      <c r="M108">
        <v>5.3848965794775244E-7</v>
      </c>
      <c r="N108">
        <v>0.79426880680475753</v>
      </c>
      <c r="O108">
        <v>5.7404847448927809E-15</v>
      </c>
      <c r="P108">
        <v>3.0912802943448049E-14</v>
      </c>
      <c r="Q108">
        <v>0</v>
      </c>
      <c r="R108">
        <v>0</v>
      </c>
      <c r="S108">
        <v>5.8757921647625243E-5</v>
      </c>
      <c r="T108">
        <v>4.1700269118792987E-11</v>
      </c>
    </row>
    <row r="109" spans="1:20" x14ac:dyDescent="0.25">
      <c r="A109">
        <v>108</v>
      </c>
      <c r="B109" t="s">
        <v>132</v>
      </c>
      <c r="C109" t="s">
        <v>113</v>
      </c>
      <c r="D109">
        <v>1.071788137299085E-4</v>
      </c>
      <c r="E109">
        <v>0.20426695977404241</v>
      </c>
      <c r="F109">
        <v>4.0651521990005067E-2</v>
      </c>
      <c r="G109">
        <v>4.5172160847732946E-12</v>
      </c>
      <c r="H109">
        <v>0.49206026411052289</v>
      </c>
      <c r="I109">
        <v>1.277286892311823E-6</v>
      </c>
      <c r="J109">
        <v>1.045819886596383E-8</v>
      </c>
      <c r="K109">
        <v>9.9392451271504965E-4</v>
      </c>
      <c r="L109">
        <v>8.8360710658895399E-9</v>
      </c>
      <c r="M109">
        <v>4.8153828039336938E-5</v>
      </c>
      <c r="N109">
        <v>0.90042521171142809</v>
      </c>
      <c r="O109">
        <v>2.7531802647418189E-12</v>
      </c>
      <c r="P109">
        <v>4.1591632610580284E-12</v>
      </c>
      <c r="Q109">
        <v>0</v>
      </c>
      <c r="R109">
        <v>0</v>
      </c>
      <c r="S109">
        <v>7.3349097749732142E-4</v>
      </c>
      <c r="T109">
        <v>7.8430620145826841E-9</v>
      </c>
    </row>
    <row r="110" spans="1:20" x14ac:dyDescent="0.25">
      <c r="A110">
        <v>109</v>
      </c>
      <c r="B110" t="s">
        <v>133</v>
      </c>
      <c r="C110" t="s">
        <v>113</v>
      </c>
      <c r="D110">
        <v>1.452100447169602E-4</v>
      </c>
      <c r="E110">
        <v>0.29907418817138248</v>
      </c>
      <c r="F110">
        <v>1.4307413182741081E-2</v>
      </c>
      <c r="G110">
        <v>9.6299771602368849E-14</v>
      </c>
      <c r="H110">
        <v>0.16794998492955979</v>
      </c>
      <c r="I110">
        <v>2.5224288057031031E-7</v>
      </c>
      <c r="J110">
        <v>7.014589050676106E-10</v>
      </c>
      <c r="K110">
        <v>2.813692678114506E-3</v>
      </c>
      <c r="L110">
        <v>2.009152224180909E-10</v>
      </c>
      <c r="M110">
        <v>3.140401701476131E-5</v>
      </c>
      <c r="N110">
        <v>0.61448906144344939</v>
      </c>
      <c r="O110">
        <v>5.6359630683602185E-13</v>
      </c>
      <c r="P110">
        <v>2.4004166603359699E-13</v>
      </c>
      <c r="Q110">
        <v>0</v>
      </c>
      <c r="R110">
        <v>0</v>
      </c>
      <c r="S110">
        <v>1.0567257189801329E-4</v>
      </c>
      <c r="T110">
        <v>1.9106431145987201E-9</v>
      </c>
    </row>
    <row r="111" spans="1:20" x14ac:dyDescent="0.25">
      <c r="A111">
        <v>111</v>
      </c>
      <c r="B111" t="s">
        <v>134</v>
      </c>
      <c r="C111" t="s">
        <v>113</v>
      </c>
      <c r="D111">
        <v>9.9925094543296121E-6</v>
      </c>
      <c r="E111">
        <v>9.7437039171128073E-2</v>
      </c>
      <c r="F111">
        <v>3.9135734241202234E-3</v>
      </c>
      <c r="G111">
        <v>6.0637464441627384E-15</v>
      </c>
      <c r="H111">
        <v>0.11608448097102329</v>
      </c>
      <c r="I111">
        <v>1.6900682976456079E-8</v>
      </c>
      <c r="J111">
        <v>4.7215775248964792E-11</v>
      </c>
      <c r="K111">
        <v>2.7353213065745279E-4</v>
      </c>
      <c r="L111">
        <v>2.8237608308327851E-11</v>
      </c>
      <c r="M111">
        <v>2.1992693552958002E-6</v>
      </c>
      <c r="N111">
        <v>0.78777357630060352</v>
      </c>
      <c r="O111">
        <v>1.0407885723364991E-14</v>
      </c>
      <c r="P111">
        <v>8.1170462519769796E-15</v>
      </c>
      <c r="Q111">
        <v>0</v>
      </c>
      <c r="R111">
        <v>0</v>
      </c>
      <c r="S111">
        <v>2.056643830820274E-5</v>
      </c>
      <c r="T111">
        <v>6.7858242036257141E-11</v>
      </c>
    </row>
    <row r="112" spans="1:20" x14ac:dyDescent="0.25">
      <c r="A112">
        <v>112</v>
      </c>
      <c r="B112" t="s">
        <v>135</v>
      </c>
      <c r="C112" t="s">
        <v>113</v>
      </c>
      <c r="D112">
        <v>1.105083250949712E-7</v>
      </c>
      <c r="E112">
        <v>4.130870852566147E-3</v>
      </c>
      <c r="F112">
        <v>1.715120211539297E-3</v>
      </c>
      <c r="G112">
        <v>9.0101879496623961E-14</v>
      </c>
      <c r="H112">
        <v>0.1297382834170826</v>
      </c>
      <c r="I112">
        <v>5.3532704125453828E-9</v>
      </c>
      <c r="J112">
        <v>9.9976624369898035E-11</v>
      </c>
      <c r="K112">
        <v>1.1529402225976819E-6</v>
      </c>
      <c r="L112">
        <v>8.0459232728685271E-10</v>
      </c>
      <c r="M112">
        <v>8.9248811358596887E-8</v>
      </c>
      <c r="N112">
        <v>0.46978181693558091</v>
      </c>
      <c r="O112">
        <v>9.0773947065210076E-16</v>
      </c>
      <c r="P112">
        <v>1.1619708254613001E-14</v>
      </c>
      <c r="Q112">
        <v>0</v>
      </c>
      <c r="R112">
        <v>0</v>
      </c>
      <c r="S112">
        <v>3.1266708135733782E-5</v>
      </c>
      <c r="T112">
        <v>8.1267848085086372E-12</v>
      </c>
    </row>
    <row r="113" spans="1:20" x14ac:dyDescent="0.25">
      <c r="A113">
        <v>113</v>
      </c>
      <c r="B113" t="s">
        <v>136</v>
      </c>
      <c r="C113" t="s">
        <v>137</v>
      </c>
      <c r="D113">
        <v>2.5154768539540121E-3</v>
      </c>
      <c r="E113">
        <v>6.7749826652614281E-8</v>
      </c>
      <c r="F113">
        <v>5.5121098473978839E-5</v>
      </c>
      <c r="G113">
        <v>2.896360147569714E-2</v>
      </c>
      <c r="H113">
        <v>1.961203712599611E-8</v>
      </c>
      <c r="I113">
        <v>0.20804710644607599</v>
      </c>
      <c r="J113">
        <v>0.19428259031766371</v>
      </c>
      <c r="K113">
        <v>1.7274536116262821E-5</v>
      </c>
      <c r="L113">
        <v>4.4946137539246143E-3</v>
      </c>
      <c r="M113">
        <v>2.368820147874294E-2</v>
      </c>
      <c r="N113">
        <v>1.448774574426061E-12</v>
      </c>
      <c r="O113">
        <v>0.92239546704737774</v>
      </c>
      <c r="P113">
        <v>0.38614885930308268</v>
      </c>
      <c r="Q113">
        <v>0</v>
      </c>
      <c r="R113">
        <v>0</v>
      </c>
      <c r="S113">
        <v>2.5329001523903458E-3</v>
      </c>
      <c r="T113">
        <v>0.70074242863569691</v>
      </c>
    </row>
    <row r="114" spans="1:20" x14ac:dyDescent="0.25">
      <c r="A114">
        <v>114</v>
      </c>
      <c r="B114" t="s">
        <v>138</v>
      </c>
      <c r="C114" t="s">
        <v>137</v>
      </c>
      <c r="D114">
        <v>2.0932340251420291E-4</v>
      </c>
      <c r="E114">
        <v>3.9054354173918201E-10</v>
      </c>
      <c r="F114">
        <v>4.6090806349356269E-7</v>
      </c>
      <c r="G114">
        <v>3.463158187151069E-3</v>
      </c>
      <c r="H114">
        <v>3.3517882601045837E-11</v>
      </c>
      <c r="I114">
        <v>1.997957840461316E-2</v>
      </c>
      <c r="J114">
        <v>1.9551459327238219E-2</v>
      </c>
      <c r="K114">
        <v>7.6583289227116386E-7</v>
      </c>
      <c r="L114">
        <v>1.3522514283699581E-4</v>
      </c>
      <c r="M114">
        <v>1.984964334827216E-3</v>
      </c>
      <c r="N114">
        <v>8.2896278606881941E-16</v>
      </c>
      <c r="O114">
        <v>0.80561739854159542</v>
      </c>
      <c r="P114">
        <v>0.1274641656424215</v>
      </c>
      <c r="Q114">
        <v>0</v>
      </c>
      <c r="R114">
        <v>0</v>
      </c>
      <c r="S114">
        <v>3.971773478434137E-5</v>
      </c>
      <c r="T114">
        <v>0.19768935186211731</v>
      </c>
    </row>
    <row r="115" spans="1:20" x14ac:dyDescent="0.25">
      <c r="A115">
        <v>115</v>
      </c>
      <c r="B115" t="s">
        <v>139</v>
      </c>
      <c r="C115" t="s">
        <v>137</v>
      </c>
      <c r="D115">
        <v>1.8841973091693119E-3</v>
      </c>
      <c r="E115">
        <v>2.390896428632371E-8</v>
      </c>
      <c r="F115">
        <v>1.7054155939757299E-5</v>
      </c>
      <c r="G115">
        <v>1.2027192382736271E-2</v>
      </c>
      <c r="H115">
        <v>3.8288893301537469E-9</v>
      </c>
      <c r="I115">
        <v>0.1176904599668618</v>
      </c>
      <c r="J115">
        <v>9.2996047348426772E-2</v>
      </c>
      <c r="K115">
        <v>1.2217297832745261E-5</v>
      </c>
      <c r="L115">
        <v>1.2701024656374901E-3</v>
      </c>
      <c r="M115">
        <v>1.57340057385312E-2</v>
      </c>
      <c r="N115">
        <v>2.32039546778681E-13</v>
      </c>
      <c r="O115">
        <v>0.98866607456163269</v>
      </c>
      <c r="P115">
        <v>0.25340570690387099</v>
      </c>
      <c r="Q115">
        <v>0</v>
      </c>
      <c r="R115">
        <v>0</v>
      </c>
      <c r="S115">
        <v>8.0836745956805662E-4</v>
      </c>
      <c r="T115">
        <v>0.55921472749237633</v>
      </c>
    </row>
    <row r="116" spans="1:20" x14ac:dyDescent="0.25">
      <c r="A116">
        <v>116</v>
      </c>
      <c r="B116" t="s">
        <v>140</v>
      </c>
      <c r="C116" t="s">
        <v>137</v>
      </c>
      <c r="D116">
        <v>1.022172651874064E-4</v>
      </c>
      <c r="E116">
        <v>1.899446573490107E-10</v>
      </c>
      <c r="F116">
        <v>3.9366636831188389E-7</v>
      </c>
      <c r="G116">
        <v>8.7821387131564715E-3</v>
      </c>
      <c r="H116">
        <v>2.9445311893815187E-11</v>
      </c>
      <c r="I116">
        <v>2.095265720821788E-2</v>
      </c>
      <c r="J116">
        <v>3.1485920741574212E-2</v>
      </c>
      <c r="K116">
        <v>2.8075544996361389E-7</v>
      </c>
      <c r="L116">
        <v>3.3890073563970681E-4</v>
      </c>
      <c r="M116">
        <v>1.296264655441956E-3</v>
      </c>
      <c r="N116">
        <v>5.5898032866340102E-16</v>
      </c>
      <c r="O116">
        <v>0.81459952585646989</v>
      </c>
      <c r="P116">
        <v>0.2153248553450596</v>
      </c>
      <c r="Q116">
        <v>0</v>
      </c>
      <c r="R116">
        <v>0</v>
      </c>
      <c r="S116">
        <v>4.8084740914351101E-5</v>
      </c>
      <c r="T116">
        <v>0.188661599899243</v>
      </c>
    </row>
    <row r="117" spans="1:20" x14ac:dyDescent="0.25">
      <c r="A117">
        <v>117</v>
      </c>
      <c r="B117" t="s">
        <v>141</v>
      </c>
      <c r="C117" t="s">
        <v>137</v>
      </c>
      <c r="D117">
        <v>1.1154106875830611E-3</v>
      </c>
      <c r="E117">
        <v>4.9459314472621231E-8</v>
      </c>
      <c r="F117">
        <v>7.9392989081393097E-5</v>
      </c>
      <c r="G117">
        <v>0.1075234164471517</v>
      </c>
      <c r="H117">
        <v>3.957510803957233E-8</v>
      </c>
      <c r="I117">
        <v>0.24842854770151071</v>
      </c>
      <c r="J117">
        <v>0.40706819563890628</v>
      </c>
      <c r="K117">
        <v>5.8892277268145631E-6</v>
      </c>
      <c r="L117">
        <v>2.1313262891505289E-2</v>
      </c>
      <c r="M117">
        <v>1.544725642486049E-2</v>
      </c>
      <c r="N117">
        <v>2.5272445751912579E-12</v>
      </c>
      <c r="O117">
        <v>0.69165656901833605</v>
      </c>
      <c r="P117">
        <v>0.68906838784367852</v>
      </c>
      <c r="Q117">
        <v>0</v>
      </c>
      <c r="R117">
        <v>0</v>
      </c>
      <c r="S117">
        <v>5.15543098571532E-3</v>
      </c>
      <c r="T117">
        <v>0.60218865861144133</v>
      </c>
    </row>
    <row r="118" spans="1:20" x14ac:dyDescent="0.25">
      <c r="A118">
        <v>118</v>
      </c>
      <c r="B118" t="s">
        <v>142</v>
      </c>
      <c r="C118" t="s">
        <v>137</v>
      </c>
      <c r="D118">
        <v>2.462732739518875E-3</v>
      </c>
      <c r="E118">
        <v>3.6598006999005511E-8</v>
      </c>
      <c r="F118">
        <v>2.2852615438950389E-5</v>
      </c>
      <c r="G118">
        <v>1.1115966314489771E-2</v>
      </c>
      <c r="H118">
        <v>5.6022301408312307E-9</v>
      </c>
      <c r="I118">
        <v>0.13117018560381549</v>
      </c>
      <c r="J118">
        <v>9.4969768328628093E-2</v>
      </c>
      <c r="K118">
        <v>1.753669508267292E-5</v>
      </c>
      <c r="L118">
        <v>1.2761789337280339E-3</v>
      </c>
      <c r="M118">
        <v>1.9410233842067508E-2</v>
      </c>
      <c r="N118">
        <v>3.8151148607447948E-13</v>
      </c>
      <c r="O118">
        <v>0.97459158165629656</v>
      </c>
      <c r="P118">
        <v>0.23903677702223339</v>
      </c>
      <c r="Q118">
        <v>0</v>
      </c>
      <c r="R118">
        <v>0</v>
      </c>
      <c r="S118">
        <v>9.7437618241171149E-4</v>
      </c>
      <c r="T118">
        <v>0.59594257823995067</v>
      </c>
    </row>
    <row r="119" spans="1:20" x14ac:dyDescent="0.25">
      <c r="A119">
        <v>119</v>
      </c>
      <c r="B119" t="s">
        <v>143</v>
      </c>
      <c r="C119" t="s">
        <v>137</v>
      </c>
      <c r="D119">
        <v>1.76269366344993E-4</v>
      </c>
      <c r="E119">
        <v>6.3496642087263347E-10</v>
      </c>
      <c r="F119">
        <v>1.3305016272448809E-6</v>
      </c>
      <c r="G119">
        <v>1.8724421789656252E-2</v>
      </c>
      <c r="H119">
        <v>1.4835495610463871E-10</v>
      </c>
      <c r="I119">
        <v>4.0117611980181517E-2</v>
      </c>
      <c r="J119">
        <v>6.4467192891353026E-2</v>
      </c>
      <c r="K119">
        <v>5.3705808850649893E-7</v>
      </c>
      <c r="L119">
        <v>1.0155189435929221E-3</v>
      </c>
      <c r="M119">
        <v>2.3537003968840289E-3</v>
      </c>
      <c r="N119">
        <v>3.520204302140428E-15</v>
      </c>
      <c r="O119">
        <v>0.89566933098538615</v>
      </c>
      <c r="P119">
        <v>0.33118750188667129</v>
      </c>
      <c r="Q119">
        <v>0</v>
      </c>
      <c r="R119">
        <v>0</v>
      </c>
      <c r="S119">
        <v>1.4821943307790719E-4</v>
      </c>
      <c r="T119">
        <v>0.2717076443302649</v>
      </c>
    </row>
    <row r="120" spans="1:20" x14ac:dyDescent="0.25">
      <c r="A120">
        <v>120</v>
      </c>
      <c r="B120" t="s">
        <v>144</v>
      </c>
      <c r="C120" t="s">
        <v>137</v>
      </c>
      <c r="D120">
        <v>1.22564308992329E-2</v>
      </c>
      <c r="E120">
        <v>3.6014868345824709E-7</v>
      </c>
      <c r="F120">
        <v>7.398573594128715E-5</v>
      </c>
      <c r="G120">
        <v>2.5709633457157931E-3</v>
      </c>
      <c r="H120">
        <v>2.5744304009086701E-8</v>
      </c>
      <c r="I120">
        <v>0.15816595702224179</v>
      </c>
      <c r="J120">
        <v>5.2124950675801973E-2</v>
      </c>
      <c r="K120">
        <v>1.717996417395462E-4</v>
      </c>
      <c r="L120">
        <v>4.2726292917201312E-4</v>
      </c>
      <c r="M120">
        <v>5.7024567906139682E-2</v>
      </c>
      <c r="N120">
        <v>3.7283151919419656E-12</v>
      </c>
      <c r="O120">
        <v>0.71861988906012586</v>
      </c>
      <c r="P120">
        <v>8.9136497998381539E-2</v>
      </c>
      <c r="Q120">
        <v>0</v>
      </c>
      <c r="R120">
        <v>0</v>
      </c>
      <c r="S120">
        <v>1.432581944017121E-3</v>
      </c>
      <c r="T120">
        <v>0.64902908444904817</v>
      </c>
    </row>
    <row r="121" spans="1:20" x14ac:dyDescent="0.25">
      <c r="A121">
        <v>121</v>
      </c>
      <c r="B121" t="s">
        <v>145</v>
      </c>
      <c r="C121" t="s">
        <v>146</v>
      </c>
      <c r="D121">
        <v>1.9620212275312229E-5</v>
      </c>
      <c r="E121">
        <v>4.7260602328968141E-10</v>
      </c>
      <c r="F121">
        <v>5.241532462279813E-6</v>
      </c>
      <c r="G121">
        <v>0.4591382503551597</v>
      </c>
      <c r="H121">
        <v>2.009372321007827E-9</v>
      </c>
      <c r="I121">
        <v>5.555724864045259E-2</v>
      </c>
      <c r="J121">
        <v>0.37639614268843669</v>
      </c>
      <c r="K121">
        <v>3.509007050403859E-8</v>
      </c>
      <c r="L121">
        <v>6.4311763669222588E-2</v>
      </c>
      <c r="M121">
        <v>7.0703830764226757E-4</v>
      </c>
      <c r="N121">
        <v>4.213791630195843E-14</v>
      </c>
      <c r="O121">
        <v>0.22480810717021341</v>
      </c>
      <c r="P121">
        <v>0.97235170183650654</v>
      </c>
      <c r="Q121">
        <v>0</v>
      </c>
      <c r="R121">
        <v>0</v>
      </c>
      <c r="S121">
        <v>1.232171099963612E-3</v>
      </c>
      <c r="T121">
        <v>0.12572101250980591</v>
      </c>
    </row>
    <row r="122" spans="1:20" x14ac:dyDescent="0.25">
      <c r="A122">
        <v>122</v>
      </c>
      <c r="B122" t="s">
        <v>147</v>
      </c>
      <c r="C122" t="s">
        <v>146</v>
      </c>
      <c r="D122">
        <v>7.5072211662171977E-5</v>
      </c>
      <c r="E122">
        <v>2.1644685177639009E-9</v>
      </c>
      <c r="F122">
        <v>1.3387087788223181E-5</v>
      </c>
      <c r="G122">
        <v>0.33382531008693089</v>
      </c>
      <c r="H122">
        <v>5.5404045980468961E-9</v>
      </c>
      <c r="I122">
        <v>9.8537367790384592E-2</v>
      </c>
      <c r="J122">
        <v>0.43458758594421693</v>
      </c>
      <c r="K122">
        <v>1.8607130551977559E-7</v>
      </c>
      <c r="L122">
        <v>5.180862808217742E-2</v>
      </c>
      <c r="M122">
        <v>2.0257890226919868E-3</v>
      </c>
      <c r="N122">
        <v>1.6239954939333321E-13</v>
      </c>
      <c r="O122">
        <v>0.35750346415576961</v>
      </c>
      <c r="P122">
        <v>0.9900407136798991</v>
      </c>
      <c r="Q122">
        <v>0</v>
      </c>
      <c r="R122">
        <v>0</v>
      </c>
      <c r="S122">
        <v>2.1349224001160961E-3</v>
      </c>
      <c r="T122">
        <v>0.2281099923879783</v>
      </c>
    </row>
    <row r="123" spans="1:20" x14ac:dyDescent="0.25">
      <c r="A123">
        <v>123</v>
      </c>
      <c r="B123" t="s">
        <v>148</v>
      </c>
      <c r="C123" t="s">
        <v>146</v>
      </c>
      <c r="D123">
        <v>2.9470214446883039E-5</v>
      </c>
      <c r="E123">
        <v>7.2388270835168842E-10</v>
      </c>
      <c r="F123">
        <v>6.7346187296980809E-6</v>
      </c>
      <c r="G123">
        <v>0.41451077505591621</v>
      </c>
      <c r="H123">
        <v>2.587524564107562E-9</v>
      </c>
      <c r="I123">
        <v>6.5904166613597256E-2</v>
      </c>
      <c r="J123">
        <v>0.39119333118191751</v>
      </c>
      <c r="K123">
        <v>5.7813538635382352E-8</v>
      </c>
      <c r="L123">
        <v>5.8825395894755363E-2</v>
      </c>
      <c r="M123">
        <v>9.7114026250677099E-4</v>
      </c>
      <c r="N123">
        <v>5.9303965467726078E-14</v>
      </c>
      <c r="O123">
        <v>0.2656311480228426</v>
      </c>
      <c r="P123">
        <v>0.98774483086393927</v>
      </c>
      <c r="Q123">
        <v>0</v>
      </c>
      <c r="R123">
        <v>0</v>
      </c>
      <c r="S123">
        <v>1.4159918895422579E-3</v>
      </c>
      <c r="T123">
        <v>0.15239271573273189</v>
      </c>
    </row>
    <row r="124" spans="1:20" x14ac:dyDescent="0.25">
      <c r="A124">
        <v>124</v>
      </c>
      <c r="B124" t="s">
        <v>149</v>
      </c>
      <c r="C124" t="s">
        <v>146</v>
      </c>
      <c r="D124">
        <v>7.9854551859844048E-5</v>
      </c>
      <c r="E124">
        <v>1.6186088736981771E-9</v>
      </c>
      <c r="F124">
        <v>9.242338287359995E-6</v>
      </c>
      <c r="G124">
        <v>0.25535355669250098</v>
      </c>
      <c r="H124">
        <v>3.0802464627267111E-9</v>
      </c>
      <c r="I124">
        <v>8.9649599508284938E-2</v>
      </c>
      <c r="J124">
        <v>0.36058114303751709</v>
      </c>
      <c r="K124">
        <v>1.944727812600313E-7</v>
      </c>
      <c r="L124">
        <v>3.3105206537046593E-2</v>
      </c>
      <c r="M124">
        <v>2.0177717873082601E-3</v>
      </c>
      <c r="N124">
        <v>8.3000526993703741E-14</v>
      </c>
      <c r="O124">
        <v>0.43927577756527691</v>
      </c>
      <c r="P124">
        <v>0.9507920610181636</v>
      </c>
      <c r="Q124">
        <v>0</v>
      </c>
      <c r="R124">
        <v>0</v>
      </c>
      <c r="S124">
        <v>1.4786871062874339E-3</v>
      </c>
      <c r="T124">
        <v>0.2445753658622189</v>
      </c>
    </row>
    <row r="125" spans="1:20" x14ac:dyDescent="0.25">
      <c r="A125">
        <v>125</v>
      </c>
      <c r="B125" t="s">
        <v>150</v>
      </c>
      <c r="C125" t="s">
        <v>146</v>
      </c>
      <c r="D125">
        <v>2.1247822346044211E-5</v>
      </c>
      <c r="E125">
        <v>4.4420359101926813E-10</v>
      </c>
      <c r="F125">
        <v>4.6903716308917569E-6</v>
      </c>
      <c r="G125">
        <v>0.41434612202800358</v>
      </c>
      <c r="H125">
        <v>1.6466205616218531E-9</v>
      </c>
      <c r="I125">
        <v>5.5211810650189118E-2</v>
      </c>
      <c r="J125">
        <v>0.35580796707739232</v>
      </c>
      <c r="K125">
        <v>3.8060424674701382E-8</v>
      </c>
      <c r="L125">
        <v>5.4003852229283417E-2</v>
      </c>
      <c r="M125">
        <v>7.3920081500872226E-4</v>
      </c>
      <c r="N125">
        <v>3.3648212549117279E-14</v>
      </c>
      <c r="O125">
        <v>0.25240557467743691</v>
      </c>
      <c r="P125">
        <v>0.9734721317205548</v>
      </c>
      <c r="Q125">
        <v>0</v>
      </c>
      <c r="R125">
        <v>0</v>
      </c>
      <c r="S125">
        <v>1.092484847683076E-3</v>
      </c>
      <c r="T125">
        <v>0.13385478669858769</v>
      </c>
    </row>
    <row r="126" spans="1:20" x14ac:dyDescent="0.25">
      <c r="A126">
        <v>126</v>
      </c>
      <c r="B126" t="s">
        <v>151</v>
      </c>
      <c r="C126" t="s">
        <v>146</v>
      </c>
      <c r="D126">
        <v>1.6572404387318421E-4</v>
      </c>
      <c r="E126">
        <v>4.0384271689168158E-8</v>
      </c>
      <c r="F126">
        <v>1.886337556153767E-4</v>
      </c>
      <c r="G126">
        <v>0.57902455934256136</v>
      </c>
      <c r="H126">
        <v>2.7806562653969209E-7</v>
      </c>
      <c r="I126">
        <v>0.1984089529030062</v>
      </c>
      <c r="J126">
        <v>0.85367779650331777</v>
      </c>
      <c r="K126">
        <v>6.7383749455582754E-7</v>
      </c>
      <c r="L126">
        <v>0.27073976100900887</v>
      </c>
      <c r="M126">
        <v>4.4855192686771529E-3</v>
      </c>
      <c r="N126">
        <v>1.9397696412419629E-11</v>
      </c>
      <c r="O126">
        <v>0.12308121930882179</v>
      </c>
      <c r="P126">
        <v>0.75338038045111977</v>
      </c>
      <c r="Q126">
        <v>0</v>
      </c>
      <c r="R126">
        <v>0</v>
      </c>
      <c r="S126">
        <v>1.8384982334815489E-2</v>
      </c>
      <c r="T126">
        <v>0.19351454866736309</v>
      </c>
    </row>
    <row r="127" spans="1:20" x14ac:dyDescent="0.25">
      <c r="A127">
        <v>127</v>
      </c>
      <c r="B127" t="s">
        <v>152</v>
      </c>
      <c r="C127" t="s">
        <v>146</v>
      </c>
      <c r="D127">
        <v>1.0356818357118079E-4</v>
      </c>
      <c r="E127">
        <v>3.730571549062636E-9</v>
      </c>
      <c r="F127">
        <v>2.0343665082451441E-5</v>
      </c>
      <c r="G127">
        <v>0.33845399820102129</v>
      </c>
      <c r="H127">
        <v>9.5618691490136834E-9</v>
      </c>
      <c r="I127">
        <v>0.11808128443790079</v>
      </c>
      <c r="J127">
        <v>0.48255287975403538</v>
      </c>
      <c r="K127">
        <v>2.8389838879094488E-7</v>
      </c>
      <c r="L127">
        <v>5.9028257682251957E-2</v>
      </c>
      <c r="M127">
        <v>2.659477060763079E-3</v>
      </c>
      <c r="N127">
        <v>3.209729879141072E-13</v>
      </c>
      <c r="O127">
        <v>0.35878111448426853</v>
      </c>
      <c r="P127">
        <v>0.98794411102254309</v>
      </c>
      <c r="Q127">
        <v>0</v>
      </c>
      <c r="R127">
        <v>0</v>
      </c>
      <c r="S127">
        <v>2.9031411750084671E-3</v>
      </c>
      <c r="T127">
        <v>0.25393842633184971</v>
      </c>
    </row>
    <row r="128" spans="1:20" x14ac:dyDescent="0.25">
      <c r="A128">
        <v>128</v>
      </c>
      <c r="B128" t="s">
        <v>153</v>
      </c>
      <c r="C128" t="s">
        <v>146</v>
      </c>
      <c r="D128">
        <v>6.1456690331095404E-5</v>
      </c>
      <c r="E128">
        <v>1.92967717367813E-9</v>
      </c>
      <c r="F128">
        <v>1.3226981503688151E-5</v>
      </c>
      <c r="G128">
        <v>0.37789156952125791</v>
      </c>
      <c r="H128">
        <v>5.7949650776872443E-9</v>
      </c>
      <c r="I128">
        <v>9.3831713638582184E-2</v>
      </c>
      <c r="J128">
        <v>0.45096610211173699</v>
      </c>
      <c r="K128">
        <v>1.466254371704032E-7</v>
      </c>
      <c r="L128">
        <v>6.1169923812891658E-2</v>
      </c>
      <c r="M128">
        <v>1.7592156336635649E-3</v>
      </c>
      <c r="N128">
        <v>1.6672697045714319E-13</v>
      </c>
      <c r="O128">
        <v>0.3146827634327064</v>
      </c>
      <c r="P128">
        <v>0.99841774464833766</v>
      </c>
      <c r="Q128">
        <v>0</v>
      </c>
      <c r="R128">
        <v>0</v>
      </c>
      <c r="S128">
        <v>2.2193858160471339E-3</v>
      </c>
      <c r="T128">
        <v>0.2058015782374038</v>
      </c>
    </row>
    <row r="129" spans="1:20" x14ac:dyDescent="0.25">
      <c r="A129">
        <v>129</v>
      </c>
      <c r="B129" t="s">
        <v>154</v>
      </c>
      <c r="C129" t="s">
        <v>155</v>
      </c>
      <c r="D129">
        <v>9.4566456376641468E-3</v>
      </c>
      <c r="E129">
        <v>4.4203526244935231E-4</v>
      </c>
      <c r="F129">
        <v>0.10706610602356099</v>
      </c>
      <c r="G129">
        <v>2.3873098282309269E-2</v>
      </c>
      <c r="H129">
        <v>3.186786279486647E-3</v>
      </c>
      <c r="I129">
        <v>0.41466164340850142</v>
      </c>
      <c r="J129">
        <v>0.29791881487485877</v>
      </c>
      <c r="K129">
        <v>4.117474031792496E-4</v>
      </c>
      <c r="L129">
        <v>0.17552517589209241</v>
      </c>
      <c r="M129">
        <v>7.9892982658820055E-2</v>
      </c>
      <c r="N129">
        <v>5.4271959415315596E-6</v>
      </c>
      <c r="O129">
        <v>3.8987332112986771E-3</v>
      </c>
      <c r="P129">
        <v>2.1130725055896759E-2</v>
      </c>
      <c r="Q129">
        <v>0</v>
      </c>
      <c r="R129">
        <v>0</v>
      </c>
      <c r="S129">
        <v>0.76328433307066035</v>
      </c>
      <c r="T129">
        <v>7.0840382264647325E-2</v>
      </c>
    </row>
    <row r="130" spans="1:20" x14ac:dyDescent="0.25">
      <c r="A130">
        <v>130</v>
      </c>
      <c r="B130" t="s">
        <v>156</v>
      </c>
      <c r="C130" t="s">
        <v>155</v>
      </c>
      <c r="D130">
        <v>7.9769020113174445E-3</v>
      </c>
      <c r="E130">
        <v>1.034479840606359E-2</v>
      </c>
      <c r="F130">
        <v>0.50459613447418061</v>
      </c>
      <c r="G130">
        <v>4.5635336534916048E-4</v>
      </c>
      <c r="H130">
        <v>0.1018724184437086</v>
      </c>
      <c r="I130">
        <v>6.224399737996094E-2</v>
      </c>
      <c r="J130">
        <v>1.7697467972171161E-2</v>
      </c>
      <c r="K130">
        <v>1.356784664403303E-3</v>
      </c>
      <c r="L130">
        <v>1.9061612493177751E-2</v>
      </c>
      <c r="M130">
        <v>3.7079762399774223E-2</v>
      </c>
      <c r="N130">
        <v>1.153587521528912E-3</v>
      </c>
      <c r="O130">
        <v>4.0637033315176041E-5</v>
      </c>
      <c r="P130">
        <v>2.6067441012226939E-4</v>
      </c>
      <c r="Q130">
        <v>0</v>
      </c>
      <c r="R130">
        <v>0</v>
      </c>
      <c r="S130">
        <v>0.81283928137291839</v>
      </c>
      <c r="T130">
        <v>3.3771132265015668E-3</v>
      </c>
    </row>
    <row r="131" spans="1:20" x14ac:dyDescent="0.25">
      <c r="A131">
        <v>131</v>
      </c>
      <c r="B131" t="s">
        <v>157</v>
      </c>
      <c r="C131" t="s">
        <v>155</v>
      </c>
      <c r="D131">
        <v>9.553527422487372E-2</v>
      </c>
      <c r="E131">
        <v>2.3447273855532039E-2</v>
      </c>
      <c r="F131">
        <v>0.5932644890619333</v>
      </c>
      <c r="G131">
        <v>5.0869221206688775E-4</v>
      </c>
      <c r="H131">
        <v>4.2408561645729953E-2</v>
      </c>
      <c r="I131">
        <v>0.24389654133418279</v>
      </c>
      <c r="J131">
        <v>3.627269524290519E-2</v>
      </c>
      <c r="K131">
        <v>1.7229946289600371E-2</v>
      </c>
      <c r="L131">
        <v>9.1263766914628803E-3</v>
      </c>
      <c r="M131">
        <v>0.28185381819390942</v>
      </c>
      <c r="N131">
        <v>3.6761855049858932E-4</v>
      </c>
      <c r="O131">
        <v>6.7168882839370859E-4</v>
      </c>
      <c r="P131">
        <v>1.0420266931422781E-3</v>
      </c>
      <c r="Q131">
        <v>0</v>
      </c>
      <c r="R131">
        <v>0</v>
      </c>
      <c r="S131">
        <v>0.81655519084905048</v>
      </c>
      <c r="T131">
        <v>3.0147726916808181E-2</v>
      </c>
    </row>
    <row r="132" spans="1:20" x14ac:dyDescent="0.25">
      <c r="A132">
        <v>132</v>
      </c>
      <c r="B132" t="s">
        <v>158</v>
      </c>
      <c r="C132" t="s">
        <v>155</v>
      </c>
      <c r="D132">
        <v>1.108177725756624E-2</v>
      </c>
      <c r="E132">
        <v>3.7252784703375899E-3</v>
      </c>
      <c r="F132">
        <v>0.33664246191193309</v>
      </c>
      <c r="G132">
        <v>2.6696701525108358E-3</v>
      </c>
      <c r="H132">
        <v>3.1165763368197721E-2</v>
      </c>
      <c r="I132">
        <v>0.16638752575584009</v>
      </c>
      <c r="J132">
        <v>6.7155920883662581E-2</v>
      </c>
      <c r="K132">
        <v>1.102707007255406E-3</v>
      </c>
      <c r="L132">
        <v>5.5088482888900711E-2</v>
      </c>
      <c r="M132">
        <v>6.450494904098622E-2</v>
      </c>
      <c r="N132">
        <v>1.6610750434176749E-4</v>
      </c>
      <c r="O132">
        <v>3.2184599727658159E-4</v>
      </c>
      <c r="P132">
        <v>1.8680506819344E-3</v>
      </c>
      <c r="Q132">
        <v>0</v>
      </c>
      <c r="R132">
        <v>0</v>
      </c>
      <c r="S132">
        <v>0.97144373227330039</v>
      </c>
      <c r="T132">
        <v>1.4471353019979189E-2</v>
      </c>
    </row>
    <row r="133" spans="1:20" x14ac:dyDescent="0.25">
      <c r="A133">
        <v>133</v>
      </c>
      <c r="B133" t="s">
        <v>159</v>
      </c>
      <c r="C133" t="s">
        <v>155</v>
      </c>
      <c r="D133">
        <v>4.3562776828194878E-2</v>
      </c>
      <c r="E133">
        <v>9.7550880405668471E-3</v>
      </c>
      <c r="F133">
        <v>0.46635056588515827</v>
      </c>
      <c r="G133">
        <v>1.457037072102943E-3</v>
      </c>
      <c r="H133">
        <v>3.2654476019177259E-2</v>
      </c>
      <c r="I133">
        <v>0.26067260617143989</v>
      </c>
      <c r="J133">
        <v>6.2459360573343239E-2</v>
      </c>
      <c r="K133">
        <v>5.6014704707254212E-3</v>
      </c>
      <c r="L133">
        <v>2.4664458566576411E-2</v>
      </c>
      <c r="M133">
        <v>0.17741226373394109</v>
      </c>
      <c r="N133">
        <v>2.0372312092306879E-4</v>
      </c>
      <c r="O133">
        <v>7.4101152177013586E-4</v>
      </c>
      <c r="P133">
        <v>1.966832938284408E-3</v>
      </c>
      <c r="Q133">
        <v>0</v>
      </c>
      <c r="R133">
        <v>0</v>
      </c>
      <c r="S133">
        <v>0.96447568914786419</v>
      </c>
      <c r="T133">
        <v>3.0063767316088119E-2</v>
      </c>
    </row>
    <row r="134" spans="1:20" x14ac:dyDescent="0.25">
      <c r="A134">
        <v>134</v>
      </c>
      <c r="B134" t="s">
        <v>160</v>
      </c>
      <c r="C134" t="s">
        <v>155</v>
      </c>
      <c r="D134">
        <v>7.4963220549663931E-3</v>
      </c>
      <c r="E134">
        <v>5.1603593252712932E-3</v>
      </c>
      <c r="F134">
        <v>0.3880280565815617</v>
      </c>
      <c r="G134">
        <v>1.281463656743547E-3</v>
      </c>
      <c r="H134">
        <v>5.4767001758902888E-2</v>
      </c>
      <c r="I134">
        <v>9.6634265469201952E-2</v>
      </c>
      <c r="J134">
        <v>3.6128064848411967E-2</v>
      </c>
      <c r="K134">
        <v>9.2180413582217699E-4</v>
      </c>
      <c r="L134">
        <v>3.8355170989390647E-2</v>
      </c>
      <c r="M134">
        <v>4.1704517242752231E-2</v>
      </c>
      <c r="N134">
        <v>4.0724174749747242E-4</v>
      </c>
      <c r="O134">
        <v>1.039501437333615E-4</v>
      </c>
      <c r="P134">
        <v>7.2554040079417074E-4</v>
      </c>
      <c r="Q134">
        <v>0</v>
      </c>
      <c r="R134">
        <v>0</v>
      </c>
      <c r="S134">
        <v>0.89794723946908028</v>
      </c>
      <c r="T134">
        <v>6.383938355790709E-3</v>
      </c>
    </row>
    <row r="135" spans="1:20" x14ac:dyDescent="0.25">
      <c r="A135">
        <v>135</v>
      </c>
      <c r="B135" t="s">
        <v>161</v>
      </c>
      <c r="C135" t="s">
        <v>155</v>
      </c>
      <c r="D135">
        <v>3.2716197101162192E-2</v>
      </c>
      <c r="E135">
        <v>2.0248584402073528E-3</v>
      </c>
      <c r="F135">
        <v>0.21391736963115179</v>
      </c>
      <c r="G135">
        <v>7.8570163648410477E-3</v>
      </c>
      <c r="H135">
        <v>7.2078737087380908E-3</v>
      </c>
      <c r="I135">
        <v>0.48282412065263208</v>
      </c>
      <c r="J135">
        <v>0.18892703076153841</v>
      </c>
      <c r="K135">
        <v>2.274164854290201E-3</v>
      </c>
      <c r="L135">
        <v>6.7703939317203574E-2</v>
      </c>
      <c r="M135">
        <v>0.1835743901739261</v>
      </c>
      <c r="N135">
        <v>1.992695675488527E-5</v>
      </c>
      <c r="O135">
        <v>3.8062289658047132E-3</v>
      </c>
      <c r="P135">
        <v>1.108590250553724E-2</v>
      </c>
      <c r="Q135">
        <v>0</v>
      </c>
      <c r="R135">
        <v>0</v>
      </c>
      <c r="S135">
        <v>0.87541734581951458</v>
      </c>
      <c r="T135">
        <v>8.427793866719574E-2</v>
      </c>
    </row>
    <row r="136" spans="1:20" x14ac:dyDescent="0.25">
      <c r="A136">
        <v>136</v>
      </c>
      <c r="B136" t="s">
        <v>162</v>
      </c>
      <c r="C136" t="s">
        <v>163</v>
      </c>
      <c r="D136">
        <v>7.3975659505057467E-2</v>
      </c>
      <c r="E136">
        <v>2.685428863478012E-5</v>
      </c>
      <c r="F136">
        <v>3.0027100623296792E-3</v>
      </c>
      <c r="G136">
        <v>5.1827848096791104E-3</v>
      </c>
      <c r="H136">
        <v>4.5949869199660882E-6</v>
      </c>
      <c r="I136">
        <v>0.58753931153597061</v>
      </c>
      <c r="J136">
        <v>0.15219813500397911</v>
      </c>
      <c r="K136">
        <v>2.1388665899869409E-3</v>
      </c>
      <c r="L136">
        <v>3.1724406508225E-3</v>
      </c>
      <c r="M136">
        <v>0.29925741494331182</v>
      </c>
      <c r="N136">
        <v>2.1036619359641491E-9</v>
      </c>
      <c r="O136">
        <v>0.3400076377281438</v>
      </c>
      <c r="P136">
        <v>8.3263357864396065E-2</v>
      </c>
      <c r="Q136">
        <v>0</v>
      </c>
      <c r="R136">
        <v>0</v>
      </c>
      <c r="S136">
        <v>2.7418434430799041E-2</v>
      </c>
      <c r="T136">
        <v>0.91325608288221805</v>
      </c>
    </row>
    <row r="137" spans="1:20" x14ac:dyDescent="0.25">
      <c r="A137">
        <v>137</v>
      </c>
      <c r="B137" t="s">
        <v>164</v>
      </c>
      <c r="C137" t="s">
        <v>163</v>
      </c>
      <c r="D137">
        <v>5.6148262764351281E-3</v>
      </c>
      <c r="E137">
        <v>5.3050966652428932E-7</v>
      </c>
      <c r="F137">
        <v>3.5695355915017248E-4</v>
      </c>
      <c r="G137">
        <v>5.2165673020428641E-2</v>
      </c>
      <c r="H137">
        <v>2.6768597456336759E-7</v>
      </c>
      <c r="I137">
        <v>0.42532935518211151</v>
      </c>
      <c r="J137">
        <v>0.38410527276568479</v>
      </c>
      <c r="K137">
        <v>5.2241120460118893E-5</v>
      </c>
      <c r="L137">
        <v>1.5490181426023141E-2</v>
      </c>
      <c r="M137">
        <v>5.2292824412716668E-2</v>
      </c>
      <c r="N137">
        <v>3.3309880095284862E-11</v>
      </c>
      <c r="O137">
        <v>0.66865713340957011</v>
      </c>
      <c r="P137">
        <v>0.43622248955140303</v>
      </c>
      <c r="Q137">
        <v>0</v>
      </c>
      <c r="R137">
        <v>0</v>
      </c>
      <c r="S137">
        <v>1.2091659822569829E-2</v>
      </c>
      <c r="T137">
        <v>0.86541594617455608</v>
      </c>
    </row>
    <row r="138" spans="1:20" x14ac:dyDescent="0.25">
      <c r="A138">
        <v>138</v>
      </c>
      <c r="B138" t="s">
        <v>165</v>
      </c>
      <c r="C138" t="s">
        <v>163</v>
      </c>
      <c r="D138">
        <v>2.875478412591731E-2</v>
      </c>
      <c r="E138">
        <v>1.6177315310643939E-6</v>
      </c>
      <c r="F138">
        <v>1.967320718193648E-4</v>
      </c>
      <c r="G138">
        <v>1.551102991493033E-3</v>
      </c>
      <c r="H138">
        <v>9.83868677615122E-8</v>
      </c>
      <c r="I138">
        <v>0.19880048678063661</v>
      </c>
      <c r="J138">
        <v>4.653501016385423E-2</v>
      </c>
      <c r="K138">
        <v>5.8559604069052698E-4</v>
      </c>
      <c r="L138">
        <v>3.6331052995326339E-4</v>
      </c>
      <c r="M138">
        <v>0.10674130123022529</v>
      </c>
      <c r="N138">
        <v>2.2772885513547791E-11</v>
      </c>
      <c r="O138">
        <v>0.54433838046640959</v>
      </c>
      <c r="P138">
        <v>5.7525995440018289E-2</v>
      </c>
      <c r="Q138">
        <v>0</v>
      </c>
      <c r="R138">
        <v>0</v>
      </c>
      <c r="S138">
        <v>2.4997453504308968E-3</v>
      </c>
      <c r="T138">
        <v>0.67582355455044951</v>
      </c>
    </row>
    <row r="139" spans="1:20" x14ac:dyDescent="0.25">
      <c r="A139">
        <v>139</v>
      </c>
      <c r="B139" t="s">
        <v>166</v>
      </c>
      <c r="C139" t="s">
        <v>163</v>
      </c>
      <c r="D139">
        <v>1.007416606562932E-2</v>
      </c>
      <c r="E139">
        <v>7.8110485712486723E-7</v>
      </c>
      <c r="F139">
        <v>3.2257281439752948E-4</v>
      </c>
      <c r="G139">
        <v>2.124735135925895E-2</v>
      </c>
      <c r="H139">
        <v>2.091318134577693E-7</v>
      </c>
      <c r="I139">
        <v>0.38282173494830329</v>
      </c>
      <c r="J139">
        <v>0.234146251217102</v>
      </c>
      <c r="K139">
        <v>1.1625111429054879E-4</v>
      </c>
      <c r="L139">
        <v>5.747246608999417E-3</v>
      </c>
      <c r="M139">
        <v>7.1915685923253009E-2</v>
      </c>
      <c r="N139">
        <v>3.0537192849285153E-11</v>
      </c>
      <c r="O139">
        <v>0.73505062962162027</v>
      </c>
      <c r="P139">
        <v>0.27836923046177597</v>
      </c>
      <c r="Q139">
        <v>0</v>
      </c>
      <c r="R139">
        <v>0</v>
      </c>
      <c r="S139">
        <v>8.3217030090179198E-3</v>
      </c>
      <c r="T139">
        <v>0.92117066138905934</v>
      </c>
    </row>
    <row r="140" spans="1:20" x14ac:dyDescent="0.25">
      <c r="A140">
        <v>140</v>
      </c>
      <c r="B140" t="s">
        <v>167</v>
      </c>
      <c r="C140" t="s">
        <v>163</v>
      </c>
      <c r="D140">
        <v>4.5051758705166853E-2</v>
      </c>
      <c r="E140">
        <v>6.2721686733419166E-5</v>
      </c>
      <c r="F140">
        <v>1.268502718613111E-2</v>
      </c>
      <c r="G140">
        <v>2.5788869108316511E-2</v>
      </c>
      <c r="H140">
        <v>4.5044426069461509E-5</v>
      </c>
      <c r="I140">
        <v>0.96028056422082952</v>
      </c>
      <c r="J140">
        <v>0.44030689339183549</v>
      </c>
      <c r="K140">
        <v>1.2035156659109801E-3</v>
      </c>
      <c r="L140">
        <v>3.1200009163041241E-2</v>
      </c>
      <c r="M140">
        <v>0.27173584055771938</v>
      </c>
      <c r="N140">
        <v>2.485067668326023E-8</v>
      </c>
      <c r="O140">
        <v>0.17303537350383449</v>
      </c>
      <c r="P140">
        <v>0.141176586745275</v>
      </c>
      <c r="Q140">
        <v>0</v>
      </c>
      <c r="R140">
        <v>0</v>
      </c>
      <c r="S140">
        <v>0.13671142950789131</v>
      </c>
      <c r="T140">
        <v>0.75955569857716621</v>
      </c>
    </row>
    <row r="141" spans="1:20" x14ac:dyDescent="0.25">
      <c r="A141">
        <v>141</v>
      </c>
      <c r="B141" t="s">
        <v>168</v>
      </c>
      <c r="C141" t="s">
        <v>163</v>
      </c>
      <c r="D141">
        <v>2.4940329593592291E-2</v>
      </c>
      <c r="E141">
        <v>1.3809739800562241E-5</v>
      </c>
      <c r="F141">
        <v>4.2074359092537936E-3</v>
      </c>
      <c r="G141">
        <v>3.6865803021667587E-2</v>
      </c>
      <c r="H141">
        <v>8.7671909344044727E-6</v>
      </c>
      <c r="I141">
        <v>0.81851168586561918</v>
      </c>
      <c r="J141">
        <v>0.47264807119741592</v>
      </c>
      <c r="K141">
        <v>4.6466457928996858E-4</v>
      </c>
      <c r="L141">
        <v>2.7560232611102829E-2</v>
      </c>
      <c r="M141">
        <v>0.1743828444217681</v>
      </c>
      <c r="N141">
        <v>2.9063543727057911E-9</v>
      </c>
      <c r="O141">
        <v>0.3099169426291139</v>
      </c>
      <c r="P141">
        <v>0.23372684613024641</v>
      </c>
      <c r="Q141">
        <v>0</v>
      </c>
      <c r="R141">
        <v>0</v>
      </c>
      <c r="S141">
        <v>6.7049503912044367E-2</v>
      </c>
      <c r="T141">
        <v>0.89533010656569256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0" x14ac:dyDescent="0.25">
      <c r="A1" s="2" t="s">
        <v>186</v>
      </c>
      <c r="B1" s="2" t="s">
        <v>187</v>
      </c>
      <c r="C1" s="2" t="s">
        <v>188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</row>
    <row r="2" spans="1:20" x14ac:dyDescent="0.25">
      <c r="A2">
        <v>477</v>
      </c>
      <c r="B2" t="s">
        <v>189</v>
      </c>
      <c r="C2" t="s">
        <v>179</v>
      </c>
      <c r="D2">
        <v>1.071788137299085E-4</v>
      </c>
      <c r="E2">
        <v>0.20426695977404241</v>
      </c>
      <c r="F2">
        <v>4.0651521990005067E-2</v>
      </c>
      <c r="G2">
        <v>4.5172160847732946E-12</v>
      </c>
      <c r="H2">
        <v>0.49206026411052289</v>
      </c>
      <c r="I2">
        <v>1.277286892311823E-6</v>
      </c>
      <c r="J2">
        <v>1.045819886596383E-8</v>
      </c>
      <c r="K2">
        <v>9.9392451271504965E-4</v>
      </c>
      <c r="L2">
        <v>8.8360710658895399E-9</v>
      </c>
      <c r="M2">
        <v>4.8153828039336938E-5</v>
      </c>
      <c r="N2">
        <v>0.90042521171142809</v>
      </c>
      <c r="O2">
        <v>2.7531802647418189E-12</v>
      </c>
      <c r="P2">
        <v>4.1591632610580284E-12</v>
      </c>
      <c r="Q2">
        <v>0</v>
      </c>
      <c r="R2">
        <v>0</v>
      </c>
      <c r="S2">
        <v>7.3349097749732142E-4</v>
      </c>
      <c r="T2">
        <v>7.8430620145826841E-9</v>
      </c>
    </row>
    <row r="3" spans="1:20" x14ac:dyDescent="0.25">
      <c r="A3">
        <v>218</v>
      </c>
      <c r="B3" t="s">
        <v>190</v>
      </c>
      <c r="C3" t="s">
        <v>169</v>
      </c>
      <c r="D3">
        <v>0.39701800734825338</v>
      </c>
      <c r="E3">
        <v>6.0744355214693857E-4</v>
      </c>
      <c r="F3">
        <v>1.1332682262508441E-2</v>
      </c>
      <c r="G3">
        <v>2.1764995149250801E-4</v>
      </c>
      <c r="H3">
        <v>3.7425634807422979E-5</v>
      </c>
      <c r="I3">
        <v>0.33661927687586668</v>
      </c>
      <c r="J3">
        <v>2.5296196133044239E-2</v>
      </c>
      <c r="K3">
        <v>3.6147173324257702E-2</v>
      </c>
      <c r="L3">
        <v>2.8800494302036911E-4</v>
      </c>
      <c r="M3">
        <v>0.70357061622213346</v>
      </c>
      <c r="N3">
        <v>6.4960617331587719E-8</v>
      </c>
      <c r="O3">
        <v>6.6343589951963711E-2</v>
      </c>
      <c r="P3">
        <v>6.4061856157943582E-3</v>
      </c>
      <c r="Q3">
        <v>0</v>
      </c>
      <c r="R3">
        <v>0</v>
      </c>
      <c r="S3">
        <v>2.7579864919792928E-2</v>
      </c>
      <c r="T3">
        <v>0.3839460808875102</v>
      </c>
    </row>
    <row r="4" spans="1:20" x14ac:dyDescent="0.25">
      <c r="A4">
        <v>220</v>
      </c>
      <c r="B4" t="s">
        <v>191</v>
      </c>
      <c r="C4" t="s">
        <v>184</v>
      </c>
      <c r="D4">
        <v>9.9858000487767606E-2</v>
      </c>
      <c r="E4">
        <v>1.9822544585001121E-2</v>
      </c>
      <c r="F4">
        <v>0.54640646125490988</v>
      </c>
      <c r="G4">
        <v>6.4491216917226244E-4</v>
      </c>
      <c r="H4">
        <v>3.453336579276383E-2</v>
      </c>
      <c r="I4">
        <v>0.27826666279418633</v>
      </c>
      <c r="J4">
        <v>4.3353354836927732E-2</v>
      </c>
      <c r="K4">
        <v>1.664918748399933E-2</v>
      </c>
      <c r="L4">
        <v>1.035846422405411E-2</v>
      </c>
      <c r="M4">
        <v>0.30343823986936291</v>
      </c>
      <c r="N4">
        <v>2.6731832060950759E-4</v>
      </c>
      <c r="O4">
        <v>9.0971358852529245E-4</v>
      </c>
      <c r="P4">
        <v>1.3750481691345031E-3</v>
      </c>
      <c r="Q4">
        <v>0</v>
      </c>
      <c r="R4">
        <v>0</v>
      </c>
      <c r="S4">
        <v>0.81850857584069947</v>
      </c>
      <c r="T4">
        <v>3.7115287857016413E-2</v>
      </c>
    </row>
    <row r="5" spans="1:20" x14ac:dyDescent="0.25">
      <c r="A5">
        <v>479</v>
      </c>
      <c r="B5" t="s">
        <v>192</v>
      </c>
      <c r="C5" t="s">
        <v>173</v>
      </c>
      <c r="D5">
        <v>1.12578030265662E-5</v>
      </c>
      <c r="E5">
        <v>7.6514597054760276E-3</v>
      </c>
      <c r="F5">
        <v>5.5786950257000437E-2</v>
      </c>
      <c r="G5">
        <v>1.356640404640133E-8</v>
      </c>
      <c r="H5">
        <v>0.44125293851740932</v>
      </c>
      <c r="I5">
        <v>1.5530965567620808E-5</v>
      </c>
      <c r="J5">
        <v>1.80680886890299E-6</v>
      </c>
      <c r="K5">
        <v>1.4137527163156999E-5</v>
      </c>
      <c r="L5">
        <v>1.4673712751285599E-5</v>
      </c>
      <c r="M5">
        <v>3.026492822394168E-5</v>
      </c>
      <c r="N5">
        <v>0.1051849062091077</v>
      </c>
      <c r="O5">
        <v>6.1492864572188732E-11</v>
      </c>
      <c r="P5">
        <v>1.5085822133874381E-9</v>
      </c>
      <c r="Q5">
        <v>0</v>
      </c>
      <c r="R5">
        <v>0</v>
      </c>
      <c r="S5">
        <v>1.088785570303474E-2</v>
      </c>
      <c r="T5">
        <v>8.0189674310160702E-8</v>
      </c>
    </row>
    <row r="6" spans="1:20" x14ac:dyDescent="0.25">
      <c r="A6">
        <v>498</v>
      </c>
      <c r="B6" t="s">
        <v>193</v>
      </c>
      <c r="C6" t="s">
        <v>173</v>
      </c>
      <c r="D6">
        <v>1.6328352499711061E-4</v>
      </c>
      <c r="E6">
        <v>3.09112695531235E-2</v>
      </c>
      <c r="F6">
        <v>0.19539376190014621</v>
      </c>
      <c r="G6">
        <v>9.150526448640412E-8</v>
      </c>
      <c r="H6">
        <v>0.71016646493582147</v>
      </c>
      <c r="I6">
        <v>1.5603460149535251E-4</v>
      </c>
      <c r="J6">
        <v>1.4535868871127719E-5</v>
      </c>
      <c r="K6">
        <v>1.7852767978324049E-4</v>
      </c>
      <c r="L6">
        <v>5.1405548615070473E-5</v>
      </c>
      <c r="M6">
        <v>3.7315164014295119E-4</v>
      </c>
      <c r="N6">
        <v>0.11646818792616991</v>
      </c>
      <c r="O6">
        <v>1.818667816677131E-9</v>
      </c>
      <c r="P6">
        <v>2.0878258279009291E-8</v>
      </c>
      <c r="Q6">
        <v>0</v>
      </c>
      <c r="R6">
        <v>0</v>
      </c>
      <c r="S6">
        <v>4.2256037376237031E-2</v>
      </c>
      <c r="T6">
        <v>1.4255055182209469E-6</v>
      </c>
    </row>
    <row r="7" spans="1:20" x14ac:dyDescent="0.25">
      <c r="A7">
        <v>396</v>
      </c>
      <c r="B7" t="s">
        <v>194</v>
      </c>
      <c r="C7" t="s">
        <v>176</v>
      </c>
      <c r="D7">
        <v>0.40469236604957498</v>
      </c>
      <c r="E7">
        <v>0.32078233771891901</v>
      </c>
      <c r="F7">
        <v>8.4461657314605101E-2</v>
      </c>
      <c r="G7">
        <v>4.6548232811126477E-9</v>
      </c>
      <c r="H7">
        <v>9.546997913605788E-3</v>
      </c>
      <c r="I7">
        <v>2.4550688982276159E-3</v>
      </c>
      <c r="J7">
        <v>1.247558325065255E-5</v>
      </c>
      <c r="K7">
        <v>0.90038815307448838</v>
      </c>
      <c r="L7">
        <v>1.651354312038153E-7</v>
      </c>
      <c r="M7">
        <v>0.12243242286259789</v>
      </c>
      <c r="N7">
        <v>1.0467002415314221E-3</v>
      </c>
      <c r="O7">
        <v>3.5012979960088868E-6</v>
      </c>
      <c r="P7">
        <v>1.4838253510722949E-7</v>
      </c>
      <c r="Q7">
        <v>0</v>
      </c>
      <c r="R7">
        <v>0</v>
      </c>
      <c r="S7">
        <v>5.7960593447664004E-3</v>
      </c>
      <c r="T7">
        <v>4.0047515881879618E-4</v>
      </c>
    </row>
    <row r="8" spans="1:20" x14ac:dyDescent="0.25">
      <c r="A8">
        <v>225</v>
      </c>
      <c r="B8" t="s">
        <v>195</v>
      </c>
      <c r="C8" t="s">
        <v>169</v>
      </c>
      <c r="D8">
        <v>0.5288362441669644</v>
      </c>
      <c r="E8">
        <v>0.31187833645120389</v>
      </c>
      <c r="F8">
        <v>0.24147938588658069</v>
      </c>
      <c r="G8">
        <v>1.319640000212847E-7</v>
      </c>
      <c r="H8">
        <v>2.422011850621103E-2</v>
      </c>
      <c r="I8">
        <v>1.333963750328265E-2</v>
      </c>
      <c r="J8">
        <v>1.50271028058972E-4</v>
      </c>
      <c r="K8">
        <v>0.6478508312508876</v>
      </c>
      <c r="L8">
        <v>3.946896733651377E-6</v>
      </c>
      <c r="M8">
        <v>0.27366340881010948</v>
      </c>
      <c r="N8">
        <v>1.448647980191153E-3</v>
      </c>
      <c r="O8">
        <v>2.2575249347062691E-5</v>
      </c>
      <c r="P8">
        <v>2.2192394742521008E-6</v>
      </c>
      <c r="Q8">
        <v>0</v>
      </c>
      <c r="R8">
        <v>0</v>
      </c>
      <c r="S8">
        <v>3.3747932680873539E-2</v>
      </c>
      <c r="T8">
        <v>2.0543163947799592E-3</v>
      </c>
    </row>
    <row r="9" spans="1:20" x14ac:dyDescent="0.25">
      <c r="A9">
        <v>482</v>
      </c>
      <c r="B9" t="s">
        <v>196</v>
      </c>
      <c r="C9" t="s">
        <v>178</v>
      </c>
      <c r="D9">
        <v>0.324167856918544</v>
      </c>
      <c r="E9">
        <v>0.1548074476926517</v>
      </c>
      <c r="F9">
        <v>0.66847543908237028</v>
      </c>
      <c r="G9">
        <v>1.169303254738665E-5</v>
      </c>
      <c r="H9">
        <v>6.4820831398343104E-2</v>
      </c>
      <c r="I9">
        <v>8.2036974599780196E-2</v>
      </c>
      <c r="J9">
        <v>3.3623006039848278E-3</v>
      </c>
      <c r="K9">
        <v>0.16019809203301899</v>
      </c>
      <c r="L9">
        <v>3.0459531465232617E-4</v>
      </c>
      <c r="M9">
        <v>0.40174658630520771</v>
      </c>
      <c r="N9">
        <v>1.614849749803019E-3</v>
      </c>
      <c r="O9">
        <v>1.4668337200866169E-4</v>
      </c>
      <c r="P9">
        <v>6.2628230813110958E-5</v>
      </c>
      <c r="Q9">
        <v>0</v>
      </c>
      <c r="R9">
        <v>0</v>
      </c>
      <c r="S9">
        <v>0.2790970795717212</v>
      </c>
      <c r="T9">
        <v>1.031407421628615E-2</v>
      </c>
    </row>
    <row r="10" spans="1:20" x14ac:dyDescent="0.25">
      <c r="A10">
        <v>405</v>
      </c>
      <c r="B10" t="s">
        <v>197</v>
      </c>
      <c r="C10" t="s">
        <v>172</v>
      </c>
      <c r="D10">
        <v>1.2555600825627809E-6</v>
      </c>
      <c r="E10">
        <v>4.2571924728133802E-10</v>
      </c>
      <c r="F10">
        <v>1.2160322606481731E-5</v>
      </c>
      <c r="G10">
        <v>0.96222142005052991</v>
      </c>
      <c r="H10">
        <v>2.4131103119988079E-8</v>
      </c>
      <c r="I10">
        <v>1.839320419467973E-2</v>
      </c>
      <c r="J10">
        <v>0.32407286909080568</v>
      </c>
      <c r="K10">
        <v>2.1489608749335429E-9</v>
      </c>
      <c r="L10">
        <v>0.51687338784221892</v>
      </c>
      <c r="M10">
        <v>8.8621097990986477E-5</v>
      </c>
      <c r="N10">
        <v>8.0940946750033545E-13</v>
      </c>
      <c r="O10">
        <v>7.6139062852377216E-3</v>
      </c>
      <c r="P10">
        <v>0.28741836266954363</v>
      </c>
      <c r="Q10">
        <v>0</v>
      </c>
      <c r="R10">
        <v>0</v>
      </c>
      <c r="S10">
        <v>3.457213875773477E-3</v>
      </c>
      <c r="T10">
        <v>1.1439352308671409E-2</v>
      </c>
    </row>
    <row r="11" spans="1:20" x14ac:dyDescent="0.25">
      <c r="A11">
        <v>401</v>
      </c>
      <c r="B11" t="s">
        <v>198</v>
      </c>
      <c r="C11" t="s">
        <v>181</v>
      </c>
      <c r="D11">
        <v>1.9620212275312229E-5</v>
      </c>
      <c r="E11">
        <v>4.7260602328968141E-10</v>
      </c>
      <c r="F11">
        <v>5.241532462279813E-6</v>
      </c>
      <c r="G11">
        <v>0.4591382503551597</v>
      </c>
      <c r="H11">
        <v>2.009372321007827E-9</v>
      </c>
      <c r="I11">
        <v>5.555724864045259E-2</v>
      </c>
      <c r="J11">
        <v>0.37639614268843669</v>
      </c>
      <c r="K11">
        <v>3.509007050403859E-8</v>
      </c>
      <c r="L11">
        <v>6.4311763669222588E-2</v>
      </c>
      <c r="M11">
        <v>7.0703830764226757E-4</v>
      </c>
      <c r="N11">
        <v>4.213791630195843E-14</v>
      </c>
      <c r="O11">
        <v>0.22480810717021341</v>
      </c>
      <c r="P11">
        <v>0.97235170183650654</v>
      </c>
      <c r="Q11">
        <v>0</v>
      </c>
      <c r="R11">
        <v>0</v>
      </c>
      <c r="S11">
        <v>1.232171099963612E-3</v>
      </c>
      <c r="T11">
        <v>0.12572101250980591</v>
      </c>
    </row>
    <row r="12" spans="1:20" x14ac:dyDescent="0.25">
      <c r="A12">
        <v>403</v>
      </c>
      <c r="B12" t="s">
        <v>199</v>
      </c>
      <c r="C12" t="s">
        <v>180</v>
      </c>
      <c r="D12">
        <v>1.8841973091693119E-3</v>
      </c>
      <c r="E12">
        <v>2.390896428632371E-8</v>
      </c>
      <c r="F12">
        <v>1.7054155939757299E-5</v>
      </c>
      <c r="G12">
        <v>1.2027192382736271E-2</v>
      </c>
      <c r="H12">
        <v>3.8288893301537469E-9</v>
      </c>
      <c r="I12">
        <v>0.1176904599668618</v>
      </c>
      <c r="J12">
        <v>9.2996047348426772E-2</v>
      </c>
      <c r="K12">
        <v>1.2217297832745261E-5</v>
      </c>
      <c r="L12">
        <v>1.2701024656374901E-3</v>
      </c>
      <c r="M12">
        <v>1.57340057385312E-2</v>
      </c>
      <c r="N12">
        <v>2.32039546778681E-13</v>
      </c>
      <c r="O12">
        <v>0.98866607456163269</v>
      </c>
      <c r="P12">
        <v>0.25340570690387099</v>
      </c>
      <c r="Q12">
        <v>0</v>
      </c>
      <c r="R12">
        <v>0</v>
      </c>
      <c r="S12">
        <v>8.0836745956805662E-4</v>
      </c>
      <c r="T12">
        <v>0.55921472749237633</v>
      </c>
    </row>
    <row r="13" spans="1:20" x14ac:dyDescent="0.25">
      <c r="A13">
        <v>395</v>
      </c>
      <c r="B13" t="s">
        <v>200</v>
      </c>
      <c r="C13" t="s">
        <v>185</v>
      </c>
      <c r="D13">
        <v>2.4940329593592291E-2</v>
      </c>
      <c r="E13">
        <v>1.3809739800562241E-5</v>
      </c>
      <c r="F13">
        <v>4.2074359092537936E-3</v>
      </c>
      <c r="G13">
        <v>3.6865803021667587E-2</v>
      </c>
      <c r="H13">
        <v>8.7671909344044727E-6</v>
      </c>
      <c r="I13">
        <v>0.81851168586561918</v>
      </c>
      <c r="J13">
        <v>0.47264807119741592</v>
      </c>
      <c r="K13">
        <v>4.6466457928996858E-4</v>
      </c>
      <c r="L13">
        <v>2.7560232611102829E-2</v>
      </c>
      <c r="M13">
        <v>0.1743828444217681</v>
      </c>
      <c r="N13">
        <v>2.9063543727057911E-9</v>
      </c>
      <c r="O13">
        <v>0.3099169426291139</v>
      </c>
      <c r="P13">
        <v>0.23372684613024641</v>
      </c>
      <c r="Q13">
        <v>0</v>
      </c>
      <c r="R13">
        <v>0</v>
      </c>
      <c r="S13">
        <v>6.7049503912044367E-2</v>
      </c>
      <c r="T13">
        <v>0.89533010656569256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/>
  </sheetViews>
  <sheetFormatPr defaultRowHeight="15" x14ac:dyDescent="0.25"/>
  <cols>
    <col min="1" max="1" width="25.140625" bestFit="1" customWidth="1"/>
    <col min="2" max="2" width="13.5703125" bestFit="1" customWidth="1"/>
    <col min="3" max="3" width="11" bestFit="1" customWidth="1"/>
  </cols>
  <sheetData>
    <row r="1" spans="1:6" x14ac:dyDescent="0.25">
      <c r="A1" s="3" t="s">
        <v>188</v>
      </c>
      <c r="B1" s="3" t="s">
        <v>201</v>
      </c>
      <c r="C1" s="3" t="s">
        <v>202</v>
      </c>
      <c r="D1" s="3" t="s">
        <v>203</v>
      </c>
      <c r="E1" s="3" t="s">
        <v>204</v>
      </c>
      <c r="F1" s="3" t="s">
        <v>205</v>
      </c>
    </row>
    <row r="2" spans="1:6" x14ac:dyDescent="0.25">
      <c r="A2" t="s">
        <v>169</v>
      </c>
      <c r="B2">
        <v>34.5</v>
      </c>
      <c r="C2">
        <v>41200</v>
      </c>
      <c r="D2" t="s">
        <v>206</v>
      </c>
      <c r="E2">
        <v>40.961847923351577</v>
      </c>
      <c r="F2">
        <v>29.256500586492159</v>
      </c>
    </row>
    <row r="3" spans="1:6" x14ac:dyDescent="0.25">
      <c r="A3" t="s">
        <v>170</v>
      </c>
      <c r="B3">
        <v>3.4</v>
      </c>
      <c r="C3">
        <v>23800</v>
      </c>
      <c r="D3" t="s">
        <v>207</v>
      </c>
      <c r="E3">
        <v>40.980880214194237</v>
      </c>
      <c r="F3">
        <v>29.258210020194031</v>
      </c>
    </row>
    <row r="4" spans="1:6" x14ac:dyDescent="0.25">
      <c r="A4" t="s">
        <v>171</v>
      </c>
      <c r="B4">
        <v>19.8</v>
      </c>
      <c r="C4">
        <v>28600</v>
      </c>
      <c r="D4" t="s">
        <v>207</v>
      </c>
      <c r="E4">
        <v>40.973580223096043</v>
      </c>
      <c r="F4">
        <v>29.273206384049779</v>
      </c>
    </row>
    <row r="5" spans="1:6" x14ac:dyDescent="0.25">
      <c r="A5" t="s">
        <v>172</v>
      </c>
      <c r="B5">
        <v>8.9</v>
      </c>
      <c r="C5">
        <v>16400</v>
      </c>
      <c r="D5" t="s">
        <v>207</v>
      </c>
      <c r="E5">
        <v>40.945651498474938</v>
      </c>
      <c r="F5">
        <v>29.300846713464239</v>
      </c>
    </row>
    <row r="6" spans="1:6" x14ac:dyDescent="0.25">
      <c r="A6" t="s">
        <v>173</v>
      </c>
      <c r="B6">
        <v>18.399999999999999</v>
      </c>
      <c r="C6">
        <v>26900</v>
      </c>
      <c r="D6" t="s">
        <v>206</v>
      </c>
      <c r="E6">
        <v>40.984646546142898</v>
      </c>
      <c r="F6">
        <v>29.275053231943751</v>
      </c>
    </row>
    <row r="7" spans="1:6" x14ac:dyDescent="0.25">
      <c r="A7" t="s">
        <v>174</v>
      </c>
      <c r="B7">
        <v>17</v>
      </c>
      <c r="C7">
        <v>19300</v>
      </c>
      <c r="D7" t="s">
        <v>206</v>
      </c>
      <c r="E7">
        <v>40.954512316154201</v>
      </c>
      <c r="F7">
        <v>29.277096331737258</v>
      </c>
    </row>
    <row r="8" spans="1:6" x14ac:dyDescent="0.25">
      <c r="A8" t="s">
        <v>175</v>
      </c>
      <c r="B8">
        <v>32.700000000000003</v>
      </c>
      <c r="C8">
        <v>22700</v>
      </c>
      <c r="D8" t="s">
        <v>206</v>
      </c>
      <c r="E8">
        <v>40.950633297704627</v>
      </c>
      <c r="F8">
        <v>29.28867542654719</v>
      </c>
    </row>
    <row r="9" spans="1:6" x14ac:dyDescent="0.25">
      <c r="A9" t="s">
        <v>176</v>
      </c>
      <c r="B9">
        <v>15.1</v>
      </c>
      <c r="C9">
        <v>18300</v>
      </c>
      <c r="D9" t="s">
        <v>207</v>
      </c>
      <c r="E9">
        <v>40.968697291043753</v>
      </c>
      <c r="F9">
        <v>29.24916574794139</v>
      </c>
    </row>
    <row r="10" spans="1:6" x14ac:dyDescent="0.25">
      <c r="A10" t="s">
        <v>177</v>
      </c>
      <c r="B10">
        <v>15.5</v>
      </c>
      <c r="C10">
        <v>25400</v>
      </c>
      <c r="D10" t="s">
        <v>207</v>
      </c>
      <c r="E10">
        <v>40.955568166626392</v>
      </c>
      <c r="F10">
        <v>29.301474165897691</v>
      </c>
    </row>
    <row r="11" spans="1:6" x14ac:dyDescent="0.25">
      <c r="A11" t="s">
        <v>178</v>
      </c>
      <c r="B11">
        <v>31</v>
      </c>
      <c r="C11">
        <v>31100</v>
      </c>
      <c r="D11" t="s">
        <v>206</v>
      </c>
      <c r="E11">
        <v>40.959396956966543</v>
      </c>
      <c r="F11">
        <v>29.26436580069803</v>
      </c>
    </row>
    <row r="12" spans="1:6" x14ac:dyDescent="0.25">
      <c r="A12" t="s">
        <v>179</v>
      </c>
      <c r="B12">
        <v>3.9</v>
      </c>
      <c r="C12">
        <v>32600</v>
      </c>
      <c r="D12" t="s">
        <v>207</v>
      </c>
      <c r="E12">
        <v>40.994619702659719</v>
      </c>
      <c r="F12">
        <v>29.2686357670513</v>
      </c>
    </row>
    <row r="13" spans="1:6" x14ac:dyDescent="0.25">
      <c r="A13" t="s">
        <v>180</v>
      </c>
      <c r="B13">
        <v>17.600000000000001</v>
      </c>
      <c r="C13">
        <v>21200</v>
      </c>
      <c r="D13" t="s">
        <v>207</v>
      </c>
      <c r="E13">
        <v>40.939102872483481</v>
      </c>
      <c r="F13">
        <v>29.274601615413822</v>
      </c>
    </row>
    <row r="14" spans="1:6" x14ac:dyDescent="0.25">
      <c r="A14" t="s">
        <v>181</v>
      </c>
      <c r="B14">
        <v>19.5</v>
      </c>
      <c r="C14">
        <v>19400</v>
      </c>
      <c r="D14" t="s">
        <v>207</v>
      </c>
      <c r="E14">
        <v>40.941784537770467</v>
      </c>
      <c r="F14">
        <v>29.289156923211209</v>
      </c>
    </row>
    <row r="15" spans="1:6" x14ac:dyDescent="0.25">
      <c r="A15" t="s">
        <v>182</v>
      </c>
      <c r="B15">
        <v>0</v>
      </c>
      <c r="C15">
        <v>0</v>
      </c>
      <c r="D15" t="s">
        <v>207</v>
      </c>
      <c r="E15">
        <v>0</v>
      </c>
      <c r="F15">
        <v>0</v>
      </c>
    </row>
    <row r="16" spans="1:6" x14ac:dyDescent="0.25">
      <c r="A16" t="s">
        <v>183</v>
      </c>
      <c r="B16">
        <v>0</v>
      </c>
      <c r="C16">
        <v>0</v>
      </c>
      <c r="D16" t="s">
        <v>207</v>
      </c>
      <c r="E16">
        <v>0</v>
      </c>
      <c r="F16">
        <v>0</v>
      </c>
    </row>
    <row r="17" spans="1:6" x14ac:dyDescent="0.25">
      <c r="A17" t="s">
        <v>184</v>
      </c>
      <c r="B17">
        <v>6.9</v>
      </c>
      <c r="C17">
        <v>16900</v>
      </c>
      <c r="D17" t="s">
        <v>207</v>
      </c>
      <c r="E17">
        <v>40.966222011230258</v>
      </c>
      <c r="F17">
        <v>29.282222954889139</v>
      </c>
    </row>
    <row r="18" spans="1:6" x14ac:dyDescent="0.25">
      <c r="A18" t="s">
        <v>185</v>
      </c>
      <c r="B18">
        <v>17.2</v>
      </c>
      <c r="C18">
        <v>22100</v>
      </c>
      <c r="D18" t="s">
        <v>207</v>
      </c>
      <c r="E18">
        <v>40.94762297017828</v>
      </c>
      <c r="F18">
        <v>29.273807836961861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workbookViewId="0">
      <selection sqref="A1:H1"/>
    </sheetView>
  </sheetViews>
  <sheetFormatPr defaultRowHeight="15" x14ac:dyDescent="0.25"/>
  <cols>
    <col min="1" max="1" width="25" customWidth="1"/>
    <col min="2" max="3" width="12" customWidth="1"/>
    <col min="4" max="8" width="20" customWidth="1"/>
  </cols>
  <sheetData>
    <row r="1" spans="1:8" ht="18.75" x14ac:dyDescent="0.3">
      <c r="A1" s="7" t="s">
        <v>208</v>
      </c>
      <c r="B1" s="8"/>
      <c r="C1" s="8"/>
      <c r="D1" s="8"/>
      <c r="E1" s="8"/>
      <c r="F1" s="8"/>
      <c r="G1" s="8"/>
      <c r="H1" s="8"/>
    </row>
    <row r="2" spans="1:8" x14ac:dyDescent="0.25">
      <c r="A2" s="8" t="s">
        <v>209</v>
      </c>
      <c r="B2" s="8"/>
      <c r="C2" s="8"/>
      <c r="D2" s="8"/>
      <c r="E2" s="8"/>
      <c r="F2" s="8"/>
      <c r="G2" s="8"/>
      <c r="H2" s="8"/>
    </row>
    <row r="3" spans="1:8" x14ac:dyDescent="0.25">
      <c r="A3" s="8" t="s">
        <v>210</v>
      </c>
      <c r="B3" s="8"/>
      <c r="C3" s="8"/>
      <c r="D3" s="8"/>
      <c r="E3" s="8"/>
      <c r="F3" s="8"/>
      <c r="G3" s="8"/>
      <c r="H3" s="8"/>
    </row>
    <row r="4" spans="1:8" x14ac:dyDescent="0.25">
      <c r="A4" s="8" t="s">
        <v>211</v>
      </c>
      <c r="B4" s="8"/>
      <c r="C4" s="8"/>
      <c r="D4" s="8"/>
      <c r="E4" s="8"/>
      <c r="F4" s="8"/>
      <c r="G4" s="8"/>
      <c r="H4" s="8"/>
    </row>
    <row r="5" spans="1:8" x14ac:dyDescent="0.25">
      <c r="A5" s="8" t="s">
        <v>212</v>
      </c>
      <c r="B5" s="8"/>
      <c r="C5" s="8"/>
      <c r="D5" s="8"/>
      <c r="E5" s="8"/>
      <c r="F5" s="8"/>
      <c r="G5" s="8"/>
      <c r="H5" s="8"/>
    </row>
    <row r="6" spans="1:8" x14ac:dyDescent="0.25">
      <c r="A6" s="8" t="s">
        <v>213</v>
      </c>
      <c r="B6" s="8"/>
      <c r="C6" s="8"/>
      <c r="D6" s="8"/>
      <c r="E6" s="8"/>
      <c r="F6" s="8"/>
      <c r="G6" s="8"/>
      <c r="H6" s="8"/>
    </row>
    <row r="7" spans="1:8" x14ac:dyDescent="0.25">
      <c r="A7" s="8" t="s">
        <v>214</v>
      </c>
      <c r="B7" s="8"/>
      <c r="C7" s="8"/>
      <c r="D7" s="8"/>
      <c r="E7" s="8"/>
      <c r="F7" s="8"/>
      <c r="G7" s="8"/>
      <c r="H7" s="8"/>
    </row>
    <row r="10" spans="1:8" x14ac:dyDescent="0.25">
      <c r="A10" s="4" t="s">
        <v>3</v>
      </c>
      <c r="B10" s="4" t="s">
        <v>215</v>
      </c>
      <c r="C10" s="4" t="s">
        <v>203</v>
      </c>
      <c r="D10" s="4" t="s">
        <v>216</v>
      </c>
      <c r="E10" s="4" t="s">
        <v>217</v>
      </c>
      <c r="F10" s="4" t="s">
        <v>218</v>
      </c>
      <c r="G10" s="4" t="s">
        <v>219</v>
      </c>
      <c r="H10" s="4" t="s">
        <v>220</v>
      </c>
    </row>
    <row r="11" spans="1:8" x14ac:dyDescent="0.25">
      <c r="A11" t="s">
        <v>169</v>
      </c>
      <c r="B11">
        <v>34.5</v>
      </c>
      <c r="C11" t="s">
        <v>206</v>
      </c>
      <c r="D11">
        <f>SUM(Mevcut_FCM_Uyelik!D2:D13)</f>
        <v>1.7816995977879775</v>
      </c>
      <c r="E11">
        <f>SUMPRODUCT(Aday_FCM_Uyelik!D2:D141,Adaylar_TOPSIS!O2:O141)</f>
        <v>0</v>
      </c>
      <c r="F11">
        <f t="shared" ref="F11:F27" si="0">D11+E11</f>
        <v>1.7816995977879775</v>
      </c>
      <c r="G11">
        <f t="shared" ref="G11:G27" si="1">F11*B11</f>
        <v>61.468636123685222</v>
      </c>
      <c r="H11" t="str">
        <f t="shared" ref="H11:H27" si="2">IF(F11&gt;=0.5,"OK","FAIL")</f>
        <v>OK</v>
      </c>
    </row>
    <row r="12" spans="1:8" x14ac:dyDescent="0.25">
      <c r="A12" t="s">
        <v>170</v>
      </c>
      <c r="B12">
        <v>3.4</v>
      </c>
      <c r="C12" t="s">
        <v>207</v>
      </c>
      <c r="D12">
        <f>SUM(Mevcut_FCM_Uyelik!E2:E13)</f>
        <v>1.0507416335796549</v>
      </c>
      <c r="E12">
        <f>SUMPRODUCT(Aday_FCM_Uyelik!E2:E141,Adaylar_TOPSIS!O2:O141)</f>
        <v>0</v>
      </c>
      <c r="F12">
        <f t="shared" si="0"/>
        <v>1.0507416335796549</v>
      </c>
      <c r="G12">
        <f t="shared" si="1"/>
        <v>3.5725215541708266</v>
      </c>
      <c r="H12" t="str">
        <f t="shared" si="2"/>
        <v>OK</v>
      </c>
    </row>
    <row r="13" spans="1:8" x14ac:dyDescent="0.25">
      <c r="A13" t="s">
        <v>171</v>
      </c>
      <c r="B13">
        <v>19.8</v>
      </c>
      <c r="C13" t="s">
        <v>207</v>
      </c>
      <c r="D13">
        <f>SUM(Mevcut_FCM_Uyelik!F2:F13)</f>
        <v>1.8482297518683886</v>
      </c>
      <c r="E13">
        <f>SUMPRODUCT(Aday_FCM_Uyelik!F2:F141,Adaylar_TOPSIS!O2:O141)</f>
        <v>0</v>
      </c>
      <c r="F13">
        <f t="shared" si="0"/>
        <v>1.8482297518683886</v>
      </c>
      <c r="G13">
        <f t="shared" si="1"/>
        <v>36.594949086994092</v>
      </c>
      <c r="H13" t="str">
        <f t="shared" si="2"/>
        <v>OK</v>
      </c>
    </row>
    <row r="14" spans="1:8" x14ac:dyDescent="0.25">
      <c r="A14" t="s">
        <v>172</v>
      </c>
      <c r="B14">
        <v>8.9</v>
      </c>
      <c r="C14" t="s">
        <v>207</v>
      </c>
      <c r="D14">
        <f>SUM(Mevcut_FCM_Uyelik!G2:G13)</f>
        <v>1.4711271626583144</v>
      </c>
      <c r="E14">
        <f>SUMPRODUCT(Aday_FCM_Uyelik!G2:G141,Adaylar_TOPSIS!O2:O141)</f>
        <v>0</v>
      </c>
      <c r="F14">
        <f t="shared" si="0"/>
        <v>1.4711271626583144</v>
      </c>
      <c r="G14">
        <f t="shared" si="1"/>
        <v>13.093031747658999</v>
      </c>
      <c r="H14" t="str">
        <f t="shared" si="2"/>
        <v>OK</v>
      </c>
    </row>
    <row r="15" spans="1:8" x14ac:dyDescent="0.25">
      <c r="A15" t="s">
        <v>173</v>
      </c>
      <c r="B15">
        <v>18.399999999999999</v>
      </c>
      <c r="C15" t="s">
        <v>206</v>
      </c>
      <c r="D15">
        <f>SUM(Mevcut_FCM_Uyelik!H2:H13)</f>
        <v>1.7766472039697838</v>
      </c>
      <c r="E15">
        <f>SUMPRODUCT(Aday_FCM_Uyelik!H2:H141,Adaylar_TOPSIS!O2:O141)</f>
        <v>0</v>
      </c>
      <c r="F15">
        <f t="shared" si="0"/>
        <v>1.7766472039697838</v>
      </c>
      <c r="G15">
        <f t="shared" si="1"/>
        <v>32.690308553044019</v>
      </c>
      <c r="H15" t="str">
        <f t="shared" si="2"/>
        <v>OK</v>
      </c>
    </row>
    <row r="16" spans="1:8" x14ac:dyDescent="0.25">
      <c r="A16" t="s">
        <v>174</v>
      </c>
      <c r="B16">
        <v>17</v>
      </c>
      <c r="C16" t="s">
        <v>206</v>
      </c>
      <c r="D16">
        <f>SUM(Mevcut_FCM_Uyelik!I2:I13)</f>
        <v>1.723043062192912</v>
      </c>
      <c r="E16">
        <f>SUMPRODUCT(Aday_FCM_Uyelik!I2:I141,Adaylar_TOPSIS!O2:O141)</f>
        <v>0</v>
      </c>
      <c r="F16">
        <f t="shared" si="0"/>
        <v>1.723043062192912</v>
      </c>
      <c r="G16">
        <f t="shared" si="1"/>
        <v>29.291732057279503</v>
      </c>
      <c r="H16" t="str">
        <f t="shared" si="2"/>
        <v>OK</v>
      </c>
    </row>
    <row r="17" spans="1:8" x14ac:dyDescent="0.25">
      <c r="A17" t="s">
        <v>175</v>
      </c>
      <c r="B17">
        <v>32.700000000000003</v>
      </c>
      <c r="C17" t="s">
        <v>206</v>
      </c>
      <c r="D17">
        <f>SUM(Mevcut_FCM_Uyelik!J2:J13)</f>
        <v>1.3383040816462906</v>
      </c>
      <c r="E17">
        <f>SUMPRODUCT(Aday_FCM_Uyelik!J2:J141,Adaylar_TOPSIS!O2:O141)</f>
        <v>0</v>
      </c>
      <c r="F17">
        <f t="shared" si="0"/>
        <v>1.3383040816462906</v>
      </c>
      <c r="G17">
        <f t="shared" si="1"/>
        <v>43.762543469833702</v>
      </c>
      <c r="H17" t="str">
        <f t="shared" si="2"/>
        <v>OK</v>
      </c>
    </row>
    <row r="18" spans="1:8" x14ac:dyDescent="0.25">
      <c r="A18" t="s">
        <v>176</v>
      </c>
      <c r="B18">
        <v>15.1</v>
      </c>
      <c r="C18" t="s">
        <v>207</v>
      </c>
      <c r="D18">
        <f>SUM(Mevcut_FCM_Uyelik!K2:K13)</f>
        <v>1.7628969460024675</v>
      </c>
      <c r="E18">
        <f>SUMPRODUCT(Aday_FCM_Uyelik!K2:K141,Adaylar_TOPSIS!O2:O141)</f>
        <v>0</v>
      </c>
      <c r="F18">
        <f t="shared" si="0"/>
        <v>1.7628969460024675</v>
      </c>
      <c r="G18">
        <f t="shared" si="1"/>
        <v>26.619743884637259</v>
      </c>
      <c r="H18" t="str">
        <f t="shared" si="2"/>
        <v>OK</v>
      </c>
    </row>
    <row r="19" spans="1:8" x14ac:dyDescent="0.25">
      <c r="A19" t="s">
        <v>177</v>
      </c>
      <c r="B19">
        <v>15.5</v>
      </c>
      <c r="C19" t="s">
        <v>207</v>
      </c>
      <c r="D19">
        <f>SUM(Mevcut_FCM_Uyelik!L2:L13)</f>
        <v>0.62103675119951107</v>
      </c>
      <c r="E19">
        <f>SUMPRODUCT(Aday_FCM_Uyelik!L2:L141,Adaylar_TOPSIS!O2:O141)</f>
        <v>0</v>
      </c>
      <c r="F19">
        <f t="shared" si="0"/>
        <v>0.62103675119951107</v>
      </c>
      <c r="G19">
        <f t="shared" si="1"/>
        <v>9.6260696435924213</v>
      </c>
      <c r="H19" t="str">
        <f t="shared" si="2"/>
        <v>OK</v>
      </c>
    </row>
    <row r="20" spans="1:8" x14ac:dyDescent="0.25">
      <c r="A20" t="s">
        <v>178</v>
      </c>
      <c r="B20">
        <v>31</v>
      </c>
      <c r="C20" t="s">
        <v>206</v>
      </c>
      <c r="D20">
        <f>SUM(Mevcut_FCM_Uyelik!M2:M13)</f>
        <v>1.99621535403175</v>
      </c>
      <c r="E20">
        <f>SUMPRODUCT(Aday_FCM_Uyelik!M2:M141,Adaylar_TOPSIS!O2:O141)</f>
        <v>0</v>
      </c>
      <c r="F20">
        <f t="shared" si="0"/>
        <v>1.99621535403175</v>
      </c>
      <c r="G20">
        <f t="shared" si="1"/>
        <v>61.882675974984252</v>
      </c>
      <c r="H20" t="str">
        <f t="shared" si="2"/>
        <v>OK</v>
      </c>
    </row>
    <row r="21" spans="1:8" x14ac:dyDescent="0.25">
      <c r="A21" t="s">
        <v>179</v>
      </c>
      <c r="B21">
        <v>3.9</v>
      </c>
      <c r="C21" t="s">
        <v>207</v>
      </c>
      <c r="D21">
        <f>SUM(Mevcut_FCM_Uyelik!N2:N13)</f>
        <v>1.1264558900068962</v>
      </c>
      <c r="E21">
        <f>SUMPRODUCT(Aday_FCM_Uyelik!N2:N141,Adaylar_TOPSIS!O2:O141)</f>
        <v>0</v>
      </c>
      <c r="F21">
        <f t="shared" si="0"/>
        <v>1.1264558900068962</v>
      </c>
      <c r="G21">
        <f t="shared" si="1"/>
        <v>4.393177971026895</v>
      </c>
      <c r="H21" t="str">
        <f t="shared" si="2"/>
        <v>OK</v>
      </c>
    </row>
    <row r="22" spans="1:8" x14ac:dyDescent="0.25">
      <c r="A22" t="s">
        <v>180</v>
      </c>
      <c r="B22">
        <v>17.600000000000001</v>
      </c>
      <c r="C22" t="s">
        <v>207</v>
      </c>
      <c r="D22">
        <f>SUM(Mevcut_FCM_Uyelik!O2:O13)</f>
        <v>1.5984310959889523</v>
      </c>
      <c r="E22">
        <f>SUMPRODUCT(Aday_FCM_Uyelik!O2:O141,Adaylar_TOPSIS!O2:O141)</f>
        <v>0</v>
      </c>
      <c r="F22">
        <f t="shared" si="0"/>
        <v>1.5984310959889523</v>
      </c>
      <c r="G22">
        <f t="shared" si="1"/>
        <v>28.132387289405564</v>
      </c>
      <c r="H22" t="str">
        <f t="shared" si="2"/>
        <v>OK</v>
      </c>
    </row>
    <row r="23" spans="1:8" x14ac:dyDescent="0.25">
      <c r="A23" t="s">
        <v>181</v>
      </c>
      <c r="B23">
        <v>19.5</v>
      </c>
      <c r="C23" t="s">
        <v>207</v>
      </c>
      <c r="D23">
        <f>SUM(Mevcut_FCM_Uyelik!P2:P13)</f>
        <v>1.7547488695689186</v>
      </c>
      <c r="E23">
        <f>SUMPRODUCT(Aday_FCM_Uyelik!P2:P141,Adaylar_TOPSIS!O2:O141)</f>
        <v>0</v>
      </c>
      <c r="F23">
        <f t="shared" si="0"/>
        <v>1.7547488695689186</v>
      </c>
      <c r="G23">
        <f t="shared" si="1"/>
        <v>34.217602956593915</v>
      </c>
      <c r="H23" t="str">
        <f t="shared" si="2"/>
        <v>OK</v>
      </c>
    </row>
    <row r="24" spans="1:8" x14ac:dyDescent="0.25">
      <c r="A24" t="s">
        <v>182</v>
      </c>
      <c r="B24">
        <v>0</v>
      </c>
      <c r="C24" t="s">
        <v>207</v>
      </c>
      <c r="D24">
        <f>SUM(Mevcut_FCM_Uyelik!Q2:Q13)</f>
        <v>0</v>
      </c>
      <c r="E24">
        <f>SUMPRODUCT(Aday_FCM_Uyelik!Q2:Q141,Adaylar_TOPSIS!O2:O141)</f>
        <v>0</v>
      </c>
      <c r="F24">
        <f t="shared" si="0"/>
        <v>0</v>
      </c>
      <c r="G24">
        <f t="shared" si="1"/>
        <v>0</v>
      </c>
      <c r="H24" t="str">
        <f t="shared" si="2"/>
        <v>FAIL</v>
      </c>
    </row>
    <row r="25" spans="1:8" x14ac:dyDescent="0.25">
      <c r="A25" t="s">
        <v>183</v>
      </c>
      <c r="B25">
        <v>0</v>
      </c>
      <c r="C25" t="s">
        <v>207</v>
      </c>
      <c r="D25">
        <f>SUM(Mevcut_FCM_Uyelik!R2:R13)</f>
        <v>0</v>
      </c>
      <c r="E25">
        <f>SUMPRODUCT(Aday_FCM_Uyelik!R2:R141,Adaylar_TOPSIS!O2:O141)</f>
        <v>0</v>
      </c>
      <c r="F25">
        <f t="shared" si="0"/>
        <v>0</v>
      </c>
      <c r="G25">
        <f t="shared" si="1"/>
        <v>0</v>
      </c>
      <c r="H25" t="str">
        <f t="shared" si="2"/>
        <v>FAIL</v>
      </c>
    </row>
    <row r="26" spans="1:8" x14ac:dyDescent="0.25">
      <c r="A26" t="s">
        <v>184</v>
      </c>
      <c r="B26">
        <v>6.9</v>
      </c>
      <c r="C26" t="s">
        <v>207</v>
      </c>
      <c r="D26">
        <f>SUM(Mevcut_FCM_Uyelik!S2:S13)</f>
        <v>1.2911541527619723</v>
      </c>
      <c r="E26">
        <f>SUMPRODUCT(Aday_FCM_Uyelik!S2:S141,Adaylar_TOPSIS!O2:O141)</f>
        <v>0</v>
      </c>
      <c r="F26">
        <f t="shared" si="0"/>
        <v>1.2911541527619723</v>
      </c>
      <c r="G26">
        <f t="shared" si="1"/>
        <v>8.9089636540576098</v>
      </c>
      <c r="H26" t="str">
        <f t="shared" si="2"/>
        <v>OK</v>
      </c>
    </row>
    <row r="27" spans="1:8" x14ac:dyDescent="0.25">
      <c r="A27" t="s">
        <v>185</v>
      </c>
      <c r="B27">
        <v>17.2</v>
      </c>
      <c r="C27" t="s">
        <v>207</v>
      </c>
      <c r="D27">
        <f>SUM(Mevcut_FCM_Uyelik!T2:T13)</f>
        <v>2.0255369469292126</v>
      </c>
      <c r="E27">
        <f>SUMPRODUCT(Aday_FCM_Uyelik!T2:T141,Adaylar_TOPSIS!O2:O141)</f>
        <v>0</v>
      </c>
      <c r="F27">
        <f t="shared" si="0"/>
        <v>2.0255369469292126</v>
      </c>
      <c r="G27">
        <f t="shared" si="1"/>
        <v>34.839235487182457</v>
      </c>
      <c r="H27" t="str">
        <f t="shared" si="2"/>
        <v>OK</v>
      </c>
    </row>
    <row r="29" spans="1:8" x14ac:dyDescent="0.25">
      <c r="A29" s="5" t="s">
        <v>221</v>
      </c>
      <c r="G29" s="6">
        <f>SUM(G11:G27)</f>
        <v>429.09357945414678</v>
      </c>
    </row>
    <row r="30" spans="1:8" x14ac:dyDescent="0.25">
      <c r="A30" s="5" t="s">
        <v>222</v>
      </c>
      <c r="G30" s="5">
        <f>SUM(Adaylar_TOPSIS!O2:O141)</f>
        <v>0</v>
      </c>
    </row>
    <row r="33" spans="1:8" x14ac:dyDescent="0.25">
      <c r="A33" s="9" t="s">
        <v>223</v>
      </c>
      <c r="B33" s="8"/>
      <c r="C33" s="8"/>
      <c r="D33" s="8"/>
      <c r="E33" s="8"/>
      <c r="F33" s="8"/>
      <c r="G33" s="8"/>
      <c r="H33" s="8"/>
    </row>
    <row r="34" spans="1:8" x14ac:dyDescent="0.25">
      <c r="A34" s="8" t="s">
        <v>224</v>
      </c>
      <c r="B34" s="8"/>
      <c r="C34" s="8"/>
      <c r="D34" s="8"/>
      <c r="E34" s="8"/>
      <c r="F34" s="8"/>
      <c r="G34" s="8"/>
      <c r="H34" s="8"/>
    </row>
    <row r="35" spans="1:8" x14ac:dyDescent="0.25">
      <c r="A35" s="8" t="s">
        <v>225</v>
      </c>
      <c r="B35" s="8"/>
      <c r="C35" s="8"/>
      <c r="D35" s="8"/>
      <c r="E35" s="8"/>
      <c r="F35" s="8"/>
      <c r="G35" s="8"/>
      <c r="H35" s="8"/>
    </row>
    <row r="36" spans="1:8" x14ac:dyDescent="0.25">
      <c r="A36" s="8" t="s">
        <v>226</v>
      </c>
      <c r="B36" s="8"/>
      <c r="C36" s="8"/>
      <c r="D36" s="8"/>
      <c r="E36" s="8"/>
      <c r="F36" s="8"/>
      <c r="G36" s="8"/>
      <c r="H36" s="8"/>
    </row>
    <row r="37" spans="1:8" x14ac:dyDescent="0.25">
      <c r="A37" s="8" t="s">
        <v>227</v>
      </c>
      <c r="B37" s="8"/>
      <c r="C37" s="8"/>
      <c r="D37" s="8"/>
      <c r="E37" s="8"/>
      <c r="F37" s="8"/>
      <c r="G37" s="8"/>
      <c r="H37" s="8"/>
    </row>
    <row r="38" spans="1:8" x14ac:dyDescent="0.25">
      <c r="A38" s="8" t="s">
        <v>228</v>
      </c>
      <c r="B38" s="8"/>
      <c r="C38" s="8"/>
      <c r="D38" s="8"/>
      <c r="E38" s="8"/>
      <c r="F38" s="8"/>
      <c r="G38" s="8"/>
      <c r="H38" s="8"/>
    </row>
    <row r="39" spans="1:8" x14ac:dyDescent="0.25">
      <c r="A39" s="8" t="s">
        <v>229</v>
      </c>
      <c r="B39" s="8"/>
      <c r="C39" s="8"/>
      <c r="D39" s="8"/>
      <c r="E39" s="8"/>
      <c r="F39" s="8"/>
      <c r="G39" s="8"/>
      <c r="H39" s="8"/>
    </row>
    <row r="40" spans="1:8" x14ac:dyDescent="0.25">
      <c r="A40" s="8" t="s">
        <v>230</v>
      </c>
      <c r="B40" s="8"/>
      <c r="C40" s="8"/>
      <c r="D40" s="8"/>
      <c r="E40" s="8"/>
      <c r="F40" s="8"/>
      <c r="G40" s="8"/>
      <c r="H40" s="8"/>
    </row>
    <row r="41" spans="1:8" x14ac:dyDescent="0.25">
      <c r="A41" s="8" t="s">
        <v>231</v>
      </c>
      <c r="B41" s="8"/>
      <c r="C41" s="8"/>
      <c r="D41" s="8"/>
      <c r="E41" s="8"/>
      <c r="F41" s="8"/>
      <c r="G41" s="8"/>
      <c r="H41" s="8"/>
    </row>
    <row r="42" spans="1:8" x14ac:dyDescent="0.25">
      <c r="A42" s="8" t="s">
        <v>232</v>
      </c>
      <c r="B42" s="8"/>
      <c r="C42" s="8"/>
      <c r="D42" s="8"/>
      <c r="E42" s="8"/>
      <c r="F42" s="8"/>
      <c r="G42" s="8"/>
      <c r="H42" s="8"/>
    </row>
  </sheetData>
  <mergeCells count="17">
    <mergeCell ref="A40:H40"/>
    <mergeCell ref="A42:H42"/>
    <mergeCell ref="A41:H41"/>
    <mergeCell ref="A33:H33"/>
    <mergeCell ref="A36:H36"/>
    <mergeCell ref="A37:H37"/>
    <mergeCell ref="A34:H34"/>
    <mergeCell ref="A1:H1"/>
    <mergeCell ref="A4:H4"/>
    <mergeCell ref="A3:H3"/>
    <mergeCell ref="A39:H39"/>
    <mergeCell ref="A35:H35"/>
    <mergeCell ref="A7:H7"/>
    <mergeCell ref="A38:H38"/>
    <mergeCell ref="A2:H2"/>
    <mergeCell ref="A5:H5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Adaylar_TOPSIS</vt:lpstr>
      <vt:lpstr>Aday_FCM_Uyelik</vt:lpstr>
      <vt:lpstr>Mevcut_FCM_Uyelik</vt:lpstr>
      <vt:lpstr>Mahalle_Riskleri</vt:lpstr>
      <vt:lpstr>Optimizasyon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Yekta KAYMAN</cp:lastModifiedBy>
  <dcterms:created xsi:type="dcterms:W3CDTF">2026-06-03T19:25:32Z</dcterms:created>
  <dcterms:modified xsi:type="dcterms:W3CDTF">2026-06-03T19:30:03Z</dcterms:modified>
</cp:coreProperties>
</file>