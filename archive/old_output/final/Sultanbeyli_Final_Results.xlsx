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Selected_8" sheetId="3" state="visible" r:id="rId3"/>
    <sheet xmlns:r="http://schemas.openxmlformats.org/officeDocument/2006/relationships" name="AHP_Weights" sheetId="4" state="visible" r:id="rId4"/>
    <sheet xmlns:r="http://schemas.openxmlformats.org/officeDocument/2006/relationships" name="TOPSIS_Top20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verage_per_Mahalle" sheetId="7" state="visible" r:id="rId7"/>
    <sheet xmlns:r="http://schemas.openxmlformats.org/officeDocument/2006/relationships" name="Coverage_KPI" sheetId="8" state="visible" r:id="rId8"/>
    <sheet xmlns:r="http://schemas.openxmlformats.org/officeDocument/2006/relationships" name="Inputs_Candidates" sheetId="9" state="visible" r:id="rId9"/>
    <sheet xmlns:r="http://schemas.openxmlformats.org/officeDocument/2006/relationships" name="Inputs_Existing" sheetId="10" state="visible" r:id="rId10"/>
    <sheet xmlns:r="http://schemas.openxmlformats.org/officeDocument/2006/relationships" name="Inputs_Mahalle_Risk" sheetId="11" state="visible" r:id="rId11"/>
    <sheet xmlns:r="http://schemas.openxmlformats.org/officeDocument/2006/relationships" name="Inputs_Mahalle_Pop" sheetId="12" state="visible" r:id="rId12"/>
    <sheet xmlns:r="http://schemas.openxmlformats.org/officeDocument/2006/relationships" name="Mu_Aday" sheetId="13" state="visible" r:id="rId13"/>
    <sheet xmlns:r="http://schemas.openxmlformats.org/officeDocument/2006/relationships" name="Mu_Mevcut" sheetId="14" state="visible" r:id="rId14"/>
    <sheet xmlns:r="http://schemas.openxmlformats.org/officeDocument/2006/relationships" name="Centroids" sheetId="15" state="visible" r:id="rId15"/>
    <sheet xmlns:r="http://schemas.openxmlformats.org/officeDocument/2006/relationships" name="Criteria_Matrix" sheetId="16" state="visible" r:id="rId16"/>
    <sheet xmlns:r="http://schemas.openxmlformats.org/officeDocument/2006/relationships" name="AHP_Robustness" sheetId="17" state="visible" r:id="rId17"/>
    <sheet xmlns:r="http://schemas.openxmlformats.org/officeDocument/2006/relationships" name="Academic_Revie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1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SULTANBEYLI KONTEYNER OPTIMIZASYONU - FINAL RESULTS</t>
        </is>
      </c>
      <c r="B1" s="1" t="n"/>
    </row>
    <row r="2">
      <c r="A2" s="2" t="inlineStr"/>
      <c r="B2" s="2" t="inlineStr"/>
    </row>
    <row r="3">
      <c r="A3" s="2" t="inlineStr">
        <is>
          <t>Ders</t>
        </is>
      </c>
      <c r="B3" s="2" t="inlineStr">
        <is>
          <t>IE 492 - Endüstri Mühendisliği Bitirme Projesi</t>
        </is>
      </c>
    </row>
    <row r="4">
      <c r="A4" s="2" t="inlineStr">
        <is>
          <t>Danisman</t>
        </is>
      </c>
      <c r="B4" s="2" t="inlineStr">
        <is>
          <t>Dr. Ahmet Yekta Kayman</t>
        </is>
      </c>
    </row>
    <row r="5">
      <c r="A5" s="2" t="inlineStr">
        <is>
          <t>Ekip</t>
        </is>
      </c>
      <c r="B5" s="2" t="inlineStr">
        <is>
          <t>Elif Keleş, Zümra Sancaklı, Doğa Yardemir, Semanur Aydın</t>
        </is>
      </c>
    </row>
    <row r="6">
      <c r="A6" s="2" t="inlineStr">
        <is>
          <t>Tarih</t>
        </is>
      </c>
      <c r="B6" s="2" t="inlineStr">
        <is>
          <t>Ocak 2026</t>
        </is>
      </c>
    </row>
    <row r="7">
      <c r="A7" s="2" t="inlineStr"/>
      <c r="B7" s="2" t="inlineStr"/>
    </row>
    <row r="8">
      <c r="A8" s="2" t="inlineStr">
        <is>
          <t>Problem</t>
        </is>
      </c>
      <c r="B8" s="2" t="inlineStr">
        <is>
          <t>Mevcut 12 AFIS konteynerine ek olarak 8 yeni konteyner konumu secimi (Valilik karari: hedef 20).</t>
        </is>
      </c>
    </row>
    <row r="9">
      <c r="A9" s="2" t="inlineStr">
        <is>
          <t>Yontem</t>
        </is>
      </c>
      <c r="B9" s="2" t="inlineStr">
        <is>
          <t>AHP -&gt; TOPSIS -&gt; FCM (Gaussian, sigma=800m) -&gt; 0-1 IP (PuLP/CBC).</t>
        </is>
      </c>
    </row>
    <row r="10">
      <c r="A10" s="2" t="inlineStr">
        <is>
          <t>Aday havuzu</t>
        </is>
      </c>
      <c r="B10" s="2" t="inlineStr">
        <is>
          <t>140 AYDES kayitli kamu alani.</t>
        </is>
      </c>
    </row>
    <row r="11">
      <c r="A11" s="2" t="inlineStr">
        <is>
          <t>Mahalle sayisi</t>
        </is>
      </c>
      <c r="B11" s="2" t="inlineStr">
        <is>
          <t>17 (ilce geneli).</t>
        </is>
      </c>
    </row>
    <row r="12">
      <c r="A12" s="2" t="inlineStr"/>
      <c r="B12" s="2" t="inlineStr"/>
    </row>
    <row r="13">
      <c r="A13" s="2" t="inlineStr">
        <is>
          <t>Secilen 8</t>
        </is>
      </c>
      <c r="B13" s="2" t="inlineStr">
        <is>
          <t>S4, S59, S60, S61, S62, S83, S88, S141</t>
        </is>
      </c>
    </row>
    <row r="14">
      <c r="A14" s="2" t="inlineStr">
        <is>
          <t>Obj Z</t>
        </is>
      </c>
      <c r="B14" s="2" t="inlineStr">
        <is>
          <t>935.62  (Optimal, 6/6 senaryo)</t>
        </is>
      </c>
    </row>
    <row r="15">
      <c r="A15" s="2" t="inlineStr">
        <is>
          <t>Kapsama artisi</t>
        </is>
      </c>
      <c r="B15" s="2" t="inlineStr">
        <is>
          <t>+96.6 % (surekli FCM mu)</t>
        </is>
      </c>
    </row>
    <row r="16">
      <c r="A16" s="2" t="inlineStr">
        <is>
          <t>Mahalle kapsama (eşik 0.50, 17 m.)</t>
        </is>
      </c>
      <c r="B16" s="2" t="inlineStr">
        <is>
          <t>76.5% -&gt; 82.4%</t>
        </is>
      </c>
    </row>
    <row r="17">
      <c r="A17" s="2" t="inlineStr">
        <is>
          <t>Mahalle kapsama (eşik 0.50, 15 kentsel)</t>
        </is>
      </c>
      <c r="B17" s="2" t="inlineStr">
        <is>
          <t>86.7% -&gt; 93.3%</t>
        </is>
      </c>
    </row>
    <row r="18">
      <c r="A18" s="2" t="inlineStr"/>
      <c r="B18" s="2" t="inlineStr"/>
    </row>
    <row r="19">
      <c r="A19" s="2" t="inlineStr">
        <is>
          <t>SHEET LISTESI</t>
        </is>
      </c>
      <c r="B19" s="2" t="inlineStr"/>
    </row>
    <row r="20">
      <c r="A20" s="2" t="inlineStr">
        <is>
          <t>1. KPI_Summary</t>
        </is>
      </c>
      <c r="B20" s="2" t="inlineStr">
        <is>
          <t>Tum basari olculeri tek tabloda</t>
        </is>
      </c>
    </row>
    <row r="21">
      <c r="A21" s="2" t="inlineStr">
        <is>
          <t>2. Selected_8</t>
        </is>
      </c>
      <c r="B21" s="2" t="inlineStr">
        <is>
          <t>8 yeni konteyner (S_No, ad, mahalle, koordinat, TOPSIS skoru)</t>
        </is>
      </c>
    </row>
    <row r="22">
      <c r="A22" s="2" t="inlineStr">
        <is>
          <t>3. AHP_Weights</t>
        </is>
      </c>
      <c r="B22" s="2" t="inlineStr">
        <is>
          <t>3 senaryo agirlik vektorleri + CR</t>
        </is>
      </c>
    </row>
    <row r="23">
      <c r="A23" s="2" t="inlineStr">
        <is>
          <t>4. TOPSIS_Top20</t>
        </is>
      </c>
      <c r="B23" s="2" t="inlineStr">
        <is>
          <t>En yuksek 20 TOPSIS skoru (her senaryo)</t>
        </is>
      </c>
    </row>
    <row r="24">
      <c r="A24" s="2" t="inlineStr">
        <is>
          <t>5. Sensitivity</t>
        </is>
      </c>
      <c r="B24" s="2" t="inlineStr">
        <is>
          <t>3 AHP x 2 IP modu (hepsi ayni sonuc)</t>
        </is>
      </c>
    </row>
    <row r="25">
      <c r="A25" s="2" t="inlineStr">
        <is>
          <t>6. Coverage_per_Mahalle</t>
        </is>
      </c>
      <c r="B25" s="2" t="inlineStr">
        <is>
          <t>17 mahalle icin mu bazli kapsama</t>
        </is>
      </c>
    </row>
    <row r="26">
      <c r="A26" s="2" t="inlineStr">
        <is>
          <t>7. Coverage_KPI</t>
        </is>
      </c>
      <c r="B26" s="2" t="inlineStr">
        <is>
          <t>Mahalle seviyesi kapsama KPI</t>
        </is>
      </c>
    </row>
    <row r="27">
      <c r="A27" s="2" t="inlineStr">
        <is>
          <t>8. Inputs_Candidates</t>
        </is>
      </c>
      <c r="B27" s="2" t="inlineStr">
        <is>
          <t>140 aday (C1..C4)</t>
        </is>
      </c>
    </row>
    <row r="28">
      <c r="A28" s="2" t="inlineStr">
        <is>
          <t>9. Inputs_Existing</t>
        </is>
      </c>
      <c r="B28" s="2" t="inlineStr">
        <is>
          <t>12 mevcut konteyner</t>
        </is>
      </c>
    </row>
    <row r="29">
      <c r="A29" s="2" t="inlineStr">
        <is>
          <t>10. Inputs_Mahalle_Risk</t>
        </is>
      </c>
      <c r="B29" s="2" t="inlineStr">
        <is>
          <t>IBB Tablo 5-2 risk</t>
        </is>
      </c>
    </row>
    <row r="30">
      <c r="A30" s="2" t="inlineStr">
        <is>
          <t>11. Inputs_Mahalle_Pop</t>
        </is>
      </c>
      <c r="B30" s="2" t="inlineStr">
        <is>
          <t>2024 nufus verisi</t>
        </is>
      </c>
    </row>
    <row r="31">
      <c r="A31" s="2" t="inlineStr">
        <is>
          <t>12. Mu_Aday</t>
        </is>
      </c>
      <c r="B31" s="2" t="inlineStr">
        <is>
          <t>140x17 FCM mu matrisi (aday)</t>
        </is>
      </c>
    </row>
    <row r="32">
      <c r="A32" s="2" t="inlineStr">
        <is>
          <t>13. Mu_Mevcut</t>
        </is>
      </c>
      <c r="B32" s="2" t="inlineStr">
        <is>
          <t>12x17 FCM mu matrisi (mevcut)</t>
        </is>
      </c>
    </row>
    <row r="33">
      <c r="A33" s="2" t="inlineStr">
        <is>
          <t>14. Centroids</t>
        </is>
      </c>
      <c r="B33" s="2" t="inlineStr">
        <is>
          <t>Mahalle merkez koordinatlari</t>
        </is>
      </c>
    </row>
    <row r="34">
      <c r="A34" s="2" t="inlineStr">
        <is>
          <t>15. Criteria_Matrix</t>
        </is>
      </c>
      <c r="B34" s="2" t="inlineStr">
        <is>
          <t>AHP ikili karsilastirma matrisi</t>
        </is>
      </c>
    </row>
    <row r="35">
      <c r="A35" s="2" t="inlineStr">
        <is>
          <t>16. AHP_Robustness</t>
        </is>
      </c>
      <c r="B35" s="2" t="inlineStr">
        <is>
          <t>Mikro perturbasyon testi (rho = 0.99942)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Candidate pool (AYDES)</t>
        </is>
      </c>
      <c r="B2" t="n">
        <v>140</v>
      </c>
    </row>
    <row r="3">
      <c r="A3" t="inlineStr">
        <is>
          <t>Mahalle (district)</t>
        </is>
      </c>
      <c r="B3" t="n">
        <v>17</v>
      </c>
    </row>
    <row r="4">
      <c r="A4" t="inlineStr">
        <is>
          <t>Existing containers</t>
        </is>
      </c>
      <c r="B4" t="n">
        <v>12</v>
      </c>
    </row>
    <row r="5">
      <c r="A5" t="inlineStr">
        <is>
          <t>New containers to add</t>
        </is>
      </c>
      <c r="B5" t="n">
        <v>8</v>
      </c>
    </row>
    <row r="6">
      <c r="A6" t="inlineStr">
        <is>
          <t>Final total network</t>
        </is>
      </c>
      <c r="B6" t="n">
        <v>20</v>
      </c>
    </row>
    <row r="7">
      <c r="A7" t="inlineStr">
        <is>
          <t>AHP CR (Baseline)</t>
        </is>
      </c>
      <c r="B7" t="n">
        <v>0.0545</v>
      </c>
    </row>
    <row r="8">
      <c r="A8" t="inlineStr">
        <is>
          <t>FCM sigma (m)</t>
        </is>
      </c>
      <c r="B8" t="n">
        <v>800</v>
      </c>
    </row>
    <row r="9">
      <c r="A9" t="inlineStr">
        <is>
          <t>IP status</t>
        </is>
      </c>
      <c r="B9" t="inlineStr">
        <is>
          <t>Optimal</t>
        </is>
      </c>
    </row>
    <row r="10">
      <c r="A10" t="inlineStr">
        <is>
          <t>IP objective Z</t>
        </is>
      </c>
      <c r="B10" t="n">
        <v>935.621365</v>
      </c>
    </row>
    <row r="11">
      <c r="A11" t="inlineStr">
        <is>
          <t>Coverage uplift (continuous mu)</t>
        </is>
      </c>
      <c r="B11" t="inlineStr">
        <is>
          <t>+96.6 %</t>
        </is>
      </c>
    </row>
    <row r="12">
      <c r="A12" t="inlineStr">
        <is>
          <t>Mahalle coverage eşik 0.50 (17)</t>
        </is>
      </c>
      <c r="B12" t="inlineStr">
        <is>
          <t>76.5% -&gt; 82.4% (+5.9 pp)</t>
        </is>
      </c>
    </row>
    <row r="13">
      <c r="A13" t="inlineStr">
        <is>
          <t>Mahalle coverage eşik 0.50 (15 kentsel)</t>
        </is>
      </c>
      <c r="B13" t="inlineStr">
        <is>
          <t>86.7% -&gt; 93.3% (+6.6 pp)</t>
        </is>
      </c>
    </row>
    <row r="14">
      <c r="A14" t="inlineStr">
        <is>
          <t>Mean mu (17 mahalle)</t>
        </is>
      </c>
      <c r="B14" t="inlineStr">
        <is>
          <t>0.658 -&gt; 0.716</t>
        </is>
      </c>
    </row>
    <row r="15">
      <c r="A15" t="inlineStr">
        <is>
          <t>Hamidiye mu (rescue)</t>
        </is>
      </c>
      <c r="B15" t="inlineStr">
        <is>
          <t>0.473 -&gt; 0.992 (S59..S62)</t>
        </is>
      </c>
    </row>
    <row r="16">
      <c r="A16" t="inlineStr">
        <is>
          <t>Sensitivity scenarios (AHP x IP)</t>
        </is>
      </c>
      <c r="B16" t="inlineStr">
        <is>
          <t>3 x 2 = 6 — all converge</t>
        </is>
      </c>
    </row>
    <row r="17">
      <c r="A17" t="inlineStr">
        <is>
          <t>Selected S_No</t>
        </is>
      </c>
      <c r="B17" t="inlineStr">
        <is>
          <t>S4, S59, S60, S61, S62, S83, S88, S141</t>
        </is>
      </c>
    </row>
    <row r="18">
      <c r="A18" t="inlineStr">
        <is>
          <t>Sites by mahalle</t>
        </is>
      </c>
      <c r="B18" t="inlineStr">
        <is>
          <t>ABDURRAHMANGAZİ:1, HAMİDİYE:4, MEHMET AKİF:2, YAVUZ SELİM:1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" customWidth="1" min="3" max="3"/>
    <col width="19" customWidth="1" min="4" max="4"/>
    <col width="19" customWidth="1" min="5" max="5"/>
    <col width="11" customWidth="1" min="6" max="6"/>
    <col width="20" customWidth="1" min="7" max="7"/>
    <col width="19" customWidth="1" min="8" max="8"/>
    <col width="13" customWidth="1" min="9" max="9"/>
    <col width="20" customWidth="1" min="10" max="10"/>
    <col width="25" customWidth="1" min="11" max="11"/>
    <col width="33" customWidth="1" min="12" max="12"/>
    <col width="19" customWidth="1" min="13" max="13"/>
  </cols>
  <sheetData>
    <row r="1">
      <c r="A1" s="3" t="inlineStr">
        <is>
          <t>S_No</t>
        </is>
      </c>
      <c r="B1" s="3" t="inlineStr">
        <is>
          <t>Alan_Adi</t>
        </is>
      </c>
      <c r="C1" s="3" t="inlineStr">
        <is>
          <t>Mahalle</t>
        </is>
      </c>
      <c r="D1" s="3" t="inlineStr">
        <is>
          <t>Enlem</t>
        </is>
      </c>
      <c r="E1" s="3" t="inlineStr">
        <is>
          <t>Boylam</t>
        </is>
      </c>
      <c r="F1" s="3" t="inlineStr">
        <is>
          <t>C1_Damage</t>
        </is>
      </c>
      <c r="G1" s="3" t="inlineStr">
        <is>
          <t>C2_Logistics</t>
        </is>
      </c>
      <c r="H1" s="3" t="inlineStr">
        <is>
          <t>C3_GapDistance_m</t>
        </is>
      </c>
      <c r="I1" s="3" t="inlineStr">
        <is>
          <t>C4_NightPop</t>
        </is>
      </c>
      <c r="J1" s="3" t="inlineStr">
        <is>
          <t>TOPSIS_CC_Baseline</t>
        </is>
      </c>
      <c r="K1" s="3" t="inlineStr">
        <is>
          <t>TOPSIS_CC_DamageFocused</t>
        </is>
      </c>
      <c r="L1" s="3" t="inlineStr">
        <is>
          <t>TOPSIS_CC_InfrastructureFocused</t>
        </is>
      </c>
      <c r="M1" s="3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41200</v>
      </c>
      <c r="J2" t="n">
        <v>0.8130644564955266</v>
      </c>
      <c r="K2" t="n">
        <v>0.8653909689532051</v>
      </c>
      <c r="L2" t="n">
        <v>0.7557191870938864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0.7440793186494102</v>
      </c>
      <c r="K3" t="n">
        <v>0.812385554980065</v>
      </c>
      <c r="L3" t="n">
        <v>0.6118835143334246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0.7544233733329918</v>
      </c>
      <c r="K4" t="n">
        <v>0.8201443948086186</v>
      </c>
      <c r="L4" t="n">
        <v>0.6183435881835003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22700</v>
      </c>
      <c r="J5" t="n">
        <v>0.8097941846583664</v>
      </c>
      <c r="K5" t="n">
        <v>0.8581741281403575</v>
      </c>
      <c r="L5" t="n">
        <v>0.751878500332494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22700</v>
      </c>
      <c r="J6" t="n">
        <v>0.8250555461830751</v>
      </c>
      <c r="K6" t="n">
        <v>0.8692936317973385</v>
      </c>
      <c r="L6" t="n">
        <v>0.762412276817534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31100</v>
      </c>
      <c r="J7" t="n">
        <v>0.7261084801443982</v>
      </c>
      <c r="K7" t="n">
        <v>0.7897115398748021</v>
      </c>
      <c r="L7" t="n">
        <v>0.5974279935522134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31100</v>
      </c>
      <c r="J8" t="n">
        <v>0.712709681047681</v>
      </c>
      <c r="K8" t="n">
        <v>0.7798767827857194</v>
      </c>
      <c r="L8" t="n">
        <v>0.5893204568143431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0.4917904060333745</v>
      </c>
      <c r="K9" t="n">
        <v>0.468107627224366</v>
      </c>
      <c r="L9" t="n">
        <v>0.6024231761460956</v>
      </c>
      <c r="M9" t="n">
        <v>3.065627046273896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AHP Weights - 3 Scenarios</t>
        </is>
      </c>
    </row>
    <row r="2">
      <c r="A2" s="4" t="inlineStr">
        <is>
          <t>Scenario</t>
        </is>
      </c>
      <c r="B2" s="5" t="inlineStr">
        <is>
          <t>w_C1_risk</t>
        </is>
      </c>
      <c r="C2" s="5" t="inlineStr">
        <is>
          <t>w_C2_logistics</t>
        </is>
      </c>
      <c r="D2" s="5" t="inlineStr">
        <is>
          <t>w_C3_gap</t>
        </is>
      </c>
      <c r="E2" s="5" t="inlineStr">
        <is>
          <t>w_C4_nightpop</t>
        </is>
      </c>
      <c r="F2" s="5" t="inlineStr">
        <is>
          <t>CR</t>
        </is>
      </c>
    </row>
    <row r="3">
      <c r="A3" t="inlineStr">
        <is>
          <t>Baseline</t>
        </is>
      </c>
      <c r="B3" s="6" t="n">
        <v>0.541</v>
      </c>
      <c r="C3" s="6" t="n">
        <v>0.254</v>
      </c>
      <c r="D3" s="6" t="n">
        <v>0.117</v>
      </c>
      <c r="E3" s="6" t="n">
        <v>0.08799999999999999</v>
      </c>
      <c r="F3" s="6" t="n">
        <v>0.0545</v>
      </c>
    </row>
    <row r="4">
      <c r="A4" t="inlineStr">
        <is>
          <t>DamageFocused</t>
        </is>
      </c>
      <c r="B4" s="6" t="n">
        <v>0.644</v>
      </c>
      <c r="C4" s="6" t="n">
        <v>0.194</v>
      </c>
      <c r="D4" s="6" t="n">
        <v>0.093</v>
      </c>
      <c r="E4" s="6" t="n">
        <v>0.06900000000000001</v>
      </c>
      <c r="F4" s="6" t="n">
        <v>0.0615</v>
      </c>
    </row>
    <row r="5">
      <c r="A5" t="inlineStr">
        <is>
          <t>InfrastructureFocused</t>
        </is>
      </c>
      <c r="B5" s="6" t="n">
        <v>0.406</v>
      </c>
      <c r="C5" s="6" t="n">
        <v>0.406</v>
      </c>
      <c r="D5" s="6" t="n">
        <v>0.105</v>
      </c>
      <c r="E5" s="6" t="n">
        <v>0.082</v>
      </c>
      <c r="F5" s="6" t="n">
        <v>0.0395</v>
      </c>
    </row>
    <row r="6">
      <c r="B6" s="6" t="n"/>
      <c r="C6" s="6" t="n"/>
      <c r="D6" s="6" t="n"/>
      <c r="E6" s="6" t="n"/>
      <c r="F6" s="6" t="n"/>
    </row>
    <row r="7">
      <c r="A7" t="inlineStr">
        <is>
          <t>Note</t>
        </is>
      </c>
      <c r="B7" t="inlineStr">
        <is>
          <t>All CR &lt; 0.10 - tutarli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38" customWidth="1" min="3" max="3"/>
    <col width="17" customWidth="1" min="4" max="4"/>
    <col width="17" customWidth="1" min="5" max="5"/>
    <col width="19" customWidth="1" min="6" max="6"/>
    <col width="19" customWidth="1" min="7" max="7"/>
    <col width="11" customWidth="1" min="8" max="8"/>
    <col width="20" customWidth="1" min="9" max="9"/>
    <col width="19" customWidth="1" min="10" max="10"/>
    <col width="13" customWidth="1" min="11" max="11"/>
    <col width="21" customWidth="1" min="12" max="12"/>
    <col width="21" customWidth="1" min="13" max="13"/>
    <col width="26" customWidth="1" min="14" max="14"/>
  </cols>
  <sheetData>
    <row r="1">
      <c r="A1" s="3" t="inlineStr">
        <is>
          <t>S_No</t>
        </is>
      </c>
      <c r="B1" s="3" t="inlineStr">
        <is>
          <t>AYDES_ID</t>
        </is>
      </c>
      <c r="C1" s="3" t="inlineStr">
        <is>
          <t>Alan_Adi</t>
        </is>
      </c>
      <c r="D1" s="3" t="inlineStr">
        <is>
          <t>Mahalle</t>
        </is>
      </c>
      <c r="E1" s="3" t="inlineStr">
        <is>
          <t>Mahalle_norm</t>
        </is>
      </c>
      <c r="F1" s="3" t="inlineStr">
        <is>
          <t>Enlem</t>
        </is>
      </c>
      <c r="G1" s="3" t="inlineStr">
        <is>
          <t>Boylam</t>
        </is>
      </c>
      <c r="H1" s="3" t="inlineStr">
        <is>
          <t>C1_Damage</t>
        </is>
      </c>
      <c r="I1" s="3" t="inlineStr">
        <is>
          <t>C2_Logistics</t>
        </is>
      </c>
      <c r="J1" s="3" t="inlineStr">
        <is>
          <t>C3_GapDistance_m</t>
        </is>
      </c>
      <c r="K1" s="3" t="inlineStr">
        <is>
          <t>C4_NightPop</t>
        </is>
      </c>
      <c r="L1" s="3" t="inlineStr">
        <is>
          <t>CC_Baseline</t>
        </is>
      </c>
      <c r="M1" s="3" t="inlineStr">
        <is>
          <t>CC_DamageFocused</t>
        </is>
      </c>
      <c r="N1" s="3" t="inlineStr">
        <is>
          <t>CC_InfrastructureFocused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  <c r="L2" t="n">
        <v>0.6655892767412971</v>
      </c>
      <c r="M2" t="n">
        <v>0.7532511582979871</v>
      </c>
      <c r="N2" t="n">
        <v>0.5109153568187429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  <c r="L3" t="n">
        <v>0.8550615713639714</v>
      </c>
      <c r="M3" t="n">
        <v>0.8974396565667997</v>
      </c>
      <c r="N3" t="n">
        <v>0.7837044119663038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  <c r="L4" t="n">
        <v>0.6774388388076329</v>
      </c>
      <c r="M4" t="n">
        <v>0.7633091940360679</v>
      </c>
      <c r="N4" t="n">
        <v>0.5166925479361593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  <c r="L5" t="n">
        <v>0.8130644564955266</v>
      </c>
      <c r="M5" t="n">
        <v>0.8653909689532051</v>
      </c>
      <c r="N5" t="n">
        <v>0.7557191870938864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  <c r="L6" t="n">
        <v>0.7619804631567211</v>
      </c>
      <c r="M6" t="n">
        <v>0.8295278866641822</v>
      </c>
      <c r="N6" t="n">
        <v>0.6283461096723579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  <c r="L7" t="n">
        <v>0.6786942427551979</v>
      </c>
      <c r="M7" t="n">
        <v>0.7643543832593136</v>
      </c>
      <c r="N7" t="n">
        <v>0.5173350186659368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  <c r="L8" t="n">
        <v>0.8089938924231966</v>
      </c>
      <c r="M8" t="n">
        <v>0.8622422675972432</v>
      </c>
      <c r="N8" t="n">
        <v>0.7528174014110057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  <c r="L9" t="n">
        <v>0.1238813512092913</v>
      </c>
      <c r="M9" t="n">
        <v>0.09026795357466275</v>
      </c>
      <c r="N9" t="n">
        <v>0.1197604653791299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  <c r="L10" t="n">
        <v>0.08688852001760794</v>
      </c>
      <c r="M10" t="n">
        <v>0.06277949160282574</v>
      </c>
      <c r="N10" t="n">
        <v>0.0840248765309726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  <c r="L11" t="n">
        <v>0.1213151394277615</v>
      </c>
      <c r="M11" t="n">
        <v>0.08834444985205961</v>
      </c>
      <c r="N11" t="n">
        <v>0.1172773538291887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  <c r="L12" t="n">
        <v>0.2526175889774547</v>
      </c>
      <c r="M12" t="n">
        <v>0.1818332301459594</v>
      </c>
      <c r="N12" t="n">
        <v>0.3804619708774362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  <c r="L13" t="n">
        <v>0.1899194895780486</v>
      </c>
      <c r="M13" t="n">
        <v>0.1367838630801823</v>
      </c>
      <c r="N13" t="n">
        <v>0.2466494516954789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  <c r="L14" t="n">
        <v>0.3233598229195916</v>
      </c>
      <c r="M14" t="n">
        <v>0.237152547078111</v>
      </c>
      <c r="N14" t="n">
        <v>0.4842334612350069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  <c r="L15" t="n">
        <v>0.3225176026315319</v>
      </c>
      <c r="M15" t="n">
        <v>0.2364511331907486</v>
      </c>
      <c r="N15" t="n">
        <v>0.4838024369063734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  <c r="L16" t="n">
        <v>0.2463191436368454</v>
      </c>
      <c r="M16" t="n">
        <v>0.1768369567182001</v>
      </c>
      <c r="N16" t="n">
        <v>0.3768588749851308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  <c r="L17" t="n">
        <v>0.261416710131111</v>
      </c>
      <c r="M17" t="n">
        <v>0.188889234587545</v>
      </c>
      <c r="N17" t="n">
        <v>0.385462740882635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  <c r="L18" t="n">
        <v>0.4592029297281828</v>
      </c>
      <c r="M18" t="n">
        <v>0.49291224580617</v>
      </c>
      <c r="N18" t="n">
        <v>0.3524208373850974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  <c r="L19" t="n">
        <v>0.4848367584355825</v>
      </c>
      <c r="M19" t="n">
        <v>0.5063808751290376</v>
      </c>
      <c r="N19" t="n">
        <v>0.4342261559096629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  <c r="L20" t="n">
        <v>0.4572069473057925</v>
      </c>
      <c r="M20" t="n">
        <v>0.491858816167607</v>
      </c>
      <c r="N20" t="n">
        <v>0.3504839538789589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  <c r="L21" t="n">
        <v>0.5520410984775765</v>
      </c>
      <c r="M21" t="n">
        <v>0.539271764122737</v>
      </c>
      <c r="N21" t="n">
        <v>0.5892025996327467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9" customWidth="1" min="3" max="3"/>
    <col width="19" customWidth="1" min="4" max="4"/>
    <col width="28" customWidth="1" min="5" max="5"/>
    <col width="20" customWidth="1" min="6" max="6"/>
    <col width="23" customWidth="1" min="7" max="7"/>
    <col width="21" customWidth="1" min="8" max="8"/>
  </cols>
  <sheetData>
    <row r="1">
      <c r="A1" s="3" t="inlineStr">
        <is>
          <t>scenario</t>
        </is>
      </c>
      <c r="B1" s="3" t="inlineStr">
        <is>
          <t>mode</t>
        </is>
      </c>
      <c r="C1" s="3" t="inlineStr">
        <is>
          <t>status</t>
        </is>
      </c>
      <c r="D1" s="3" t="inlineStr">
        <is>
          <t>objective</t>
        </is>
      </c>
      <c r="E1" s="3" t="inlineStr">
        <is>
          <t>n_critical_below_threshold</t>
        </is>
      </c>
      <c r="F1" s="3" t="inlineStr">
        <is>
          <t>sum_total_coverage</t>
        </is>
      </c>
      <c r="G1" s="3" t="inlineStr">
        <is>
          <t>sum_baseline_coverage</t>
        </is>
      </c>
      <c r="H1" s="3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935.6213646728921</v>
      </c>
      <c r="E3" t="n">
        <v>0</v>
      </c>
      <c r="F3" t="n">
        <v>45.54013752371351</v>
      </c>
      <c r="G3" t="n">
        <v>23.166268500193</v>
      </c>
      <c r="H3" t="n">
        <v>96.57951181621726</v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935.6213646728921</v>
      </c>
      <c r="E4" t="n">
        <v>0</v>
      </c>
      <c r="F4" t="n">
        <v>45.54013752371351</v>
      </c>
      <c r="G4" t="n">
        <v>23.166268500193</v>
      </c>
      <c r="H4" t="n">
        <v>96.57951181621726</v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935.6213646728921</v>
      </c>
      <c r="E5" t="n">
        <v>0</v>
      </c>
      <c r="F5" t="n">
        <v>45.54013752371351</v>
      </c>
      <c r="G5" t="n">
        <v>23.166268500193</v>
      </c>
      <c r="H5" t="n">
        <v>96.57951181621726</v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935.6213646728921</v>
      </c>
      <c r="E6" t="n">
        <v>0</v>
      </c>
      <c r="F6" t="n">
        <v>45.54013752371351</v>
      </c>
      <c r="G6" t="n">
        <v>23.166268500193</v>
      </c>
      <c r="H6" t="n">
        <v>96.57951181621726</v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935.6213646728921</v>
      </c>
      <c r="E7" t="n">
        <v>0</v>
      </c>
      <c r="F7" t="n">
        <v>45.54013752371351</v>
      </c>
      <c r="G7" t="n">
        <v>23.166268500193</v>
      </c>
      <c r="H7" t="n">
        <v>96.57951181621726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6" customWidth="1" min="4" max="4"/>
    <col width="18" customWidth="1" min="5" max="5"/>
    <col width="18" customWidth="1" min="6" max="6"/>
    <col width="13" customWidth="1" min="7" max="7"/>
  </cols>
  <sheetData>
    <row r="1">
      <c r="A1" s="3" t="inlineStr">
        <is>
          <t>Mahalle</t>
        </is>
      </c>
      <c r="B1" s="3" t="inlineStr">
        <is>
          <t>Risk_R_pct</t>
        </is>
      </c>
      <c r="C1" s="3" t="inlineStr">
        <is>
          <t>Mu_Baseline_12</t>
        </is>
      </c>
      <c r="D1" s="3" t="inlineStr">
        <is>
          <t>Mu_Proposed_20</t>
        </is>
      </c>
      <c r="E1" s="3" t="inlineStr">
        <is>
          <t>Covered_Baseline</t>
        </is>
      </c>
      <c r="F1" s="3" t="inlineStr">
        <is>
          <t>Covered_Proposed</t>
        </is>
      </c>
      <c r="G1" s="3" t="inlineStr">
        <is>
          <t>Improvement</t>
        </is>
      </c>
    </row>
    <row r="2">
      <c r="A2" t="inlineStr">
        <is>
          <t>ADIL</t>
        </is>
      </c>
      <c r="B2" t="n">
        <v>3.4</v>
      </c>
      <c r="C2" t="n">
        <v>0.321</v>
      </c>
      <c r="D2" t="n">
        <v>0.321</v>
      </c>
      <c r="E2" t="b">
        <v>0</v>
      </c>
      <c r="F2" t="b">
        <v>0</v>
      </c>
      <c r="G2" t="n">
        <v>0</v>
      </c>
    </row>
    <row r="3">
      <c r="A3" t="inlineStr">
        <is>
          <t>SALGAMLI DEVLET ORMANI</t>
        </is>
      </c>
      <c r="B3" t="n">
        <v>0</v>
      </c>
      <c r="C3" t="n">
        <v>0</v>
      </c>
      <c r="D3" t="n">
        <v>0</v>
      </c>
      <c r="E3" t="b">
        <v>0</v>
      </c>
      <c r="F3" t="b">
        <v>0</v>
      </c>
      <c r="G3" t="n">
        <v>0</v>
      </c>
    </row>
    <row r="4">
      <c r="A4" t="inlineStr">
        <is>
          <t>TEFERRUC TEPE ORMANI</t>
        </is>
      </c>
      <c r="B4" t="n">
        <v>0</v>
      </c>
      <c r="C4" t="n">
        <v>0</v>
      </c>
      <c r="D4" t="n">
        <v>0</v>
      </c>
      <c r="E4" t="b">
        <v>0</v>
      </c>
      <c r="F4" t="b">
        <v>0</v>
      </c>
      <c r="G4" t="n">
        <v>0</v>
      </c>
    </row>
    <row r="5">
      <c r="A5" t="inlineStr">
        <is>
          <t>HAMIDIYE</t>
        </is>
      </c>
      <c r="B5" t="n">
        <v>32.7</v>
      </c>
      <c r="C5" t="n">
        <v>0.473</v>
      </c>
      <c r="D5" t="n">
        <v>0.992</v>
      </c>
      <c r="E5" t="b">
        <v>0</v>
      </c>
      <c r="F5" t="b">
        <v>1</v>
      </c>
      <c r="G5" t="n">
        <v>0.519</v>
      </c>
    </row>
    <row r="6">
      <c r="A6" t="inlineStr">
        <is>
          <t>NECIP FAZIL</t>
        </is>
      </c>
      <c r="B6" t="n">
        <v>17.6</v>
      </c>
      <c r="C6" t="n">
        <v>0.989</v>
      </c>
      <c r="D6" t="n">
        <v>0.989</v>
      </c>
      <c r="E6" t="b">
        <v>1</v>
      </c>
      <c r="F6" t="b">
        <v>1</v>
      </c>
      <c r="G6" t="n">
        <v>0</v>
      </c>
    </row>
    <row r="7">
      <c r="A7" t="inlineStr">
        <is>
          <t>ORHANGAZI</t>
        </is>
      </c>
      <c r="B7" t="n">
        <v>19.5</v>
      </c>
      <c r="C7" t="n">
        <v>0.972</v>
      </c>
      <c r="D7" t="n">
        <v>0.972</v>
      </c>
      <c r="E7" t="b">
        <v>1</v>
      </c>
      <c r="F7" t="b">
        <v>1</v>
      </c>
      <c r="G7" t="n">
        <v>0</v>
      </c>
    </row>
    <row r="8">
      <c r="A8" t="inlineStr">
        <is>
          <t>AKSEMSETTIN</t>
        </is>
      </c>
      <c r="B8" t="n">
        <v>8.9</v>
      </c>
      <c r="C8" t="n">
        <v>0.962</v>
      </c>
      <c r="D8" t="n">
        <v>0.962</v>
      </c>
      <c r="E8" t="b">
        <v>1</v>
      </c>
      <c r="F8" t="b">
        <v>1</v>
      </c>
      <c r="G8" t="n">
        <v>0</v>
      </c>
    </row>
    <row r="9">
      <c r="A9" t="inlineStr">
        <is>
          <t>MEHMET AKIF</t>
        </is>
      </c>
      <c r="B9" t="n">
        <v>31</v>
      </c>
      <c r="C9" t="n">
        <v>0.704</v>
      </c>
      <c r="D9" t="n">
        <v>0.953</v>
      </c>
      <c r="E9" t="b">
        <v>1</v>
      </c>
      <c r="F9" t="b">
        <v>1</v>
      </c>
      <c r="G9" t="n">
        <v>0.249</v>
      </c>
    </row>
    <row r="10">
      <c r="A10" t="inlineStr">
        <is>
          <t>HASANPASA</t>
        </is>
      </c>
      <c r="B10" t="n">
        <v>15.1</v>
      </c>
      <c r="C10" t="n">
        <v>0.9</v>
      </c>
      <c r="D10" t="n">
        <v>0.9</v>
      </c>
      <c r="E10" t="b">
        <v>1</v>
      </c>
      <c r="F10" t="b">
        <v>1</v>
      </c>
      <c r="G10" t="n">
        <v>0</v>
      </c>
    </row>
    <row r="11">
      <c r="A11" t="inlineStr">
        <is>
          <t>MIMAR SINAN</t>
        </is>
      </c>
      <c r="B11" t="n">
        <v>3.9</v>
      </c>
      <c r="C11" t="n">
        <v>0.9</v>
      </c>
      <c r="D11" t="n">
        <v>0.9</v>
      </c>
      <c r="E11" t="b">
        <v>1</v>
      </c>
      <c r="F11" t="b">
        <v>1</v>
      </c>
      <c r="G11" t="n">
        <v>0</v>
      </c>
    </row>
    <row r="12">
      <c r="A12" t="inlineStr">
        <is>
          <t>YAVUZ SELIM</t>
        </is>
      </c>
      <c r="B12" t="n">
        <v>17.2</v>
      </c>
      <c r="C12" t="n">
        <v>0.895</v>
      </c>
      <c r="D12" t="n">
        <v>0.895</v>
      </c>
      <c r="E12" t="b">
        <v>1</v>
      </c>
      <c r="F12" t="b">
        <v>1</v>
      </c>
      <c r="G12" t="n">
        <v>0</v>
      </c>
    </row>
    <row r="13">
      <c r="A13" t="inlineStr">
        <is>
          <t>FATIH</t>
        </is>
      </c>
      <c r="B13" t="n">
        <v>17</v>
      </c>
      <c r="C13" t="n">
        <v>0.819</v>
      </c>
      <c r="D13" t="n">
        <v>0.819</v>
      </c>
      <c r="E13" t="b">
        <v>1</v>
      </c>
      <c r="F13" t="b">
        <v>1</v>
      </c>
      <c r="G13" t="n">
        <v>0</v>
      </c>
    </row>
    <row r="14">
      <c r="A14" t="inlineStr">
        <is>
          <t>TURGUT REIS</t>
        </is>
      </c>
      <c r="B14" t="n">
        <v>6.9</v>
      </c>
      <c r="C14" t="n">
        <v>0.819</v>
      </c>
      <c r="D14" t="n">
        <v>0.819</v>
      </c>
      <c r="E14" t="b">
        <v>1</v>
      </c>
      <c r="F14" t="b">
        <v>1</v>
      </c>
      <c r="G14" t="n">
        <v>0</v>
      </c>
    </row>
    <row r="15">
      <c r="A15" t="inlineStr">
        <is>
          <t>ABDURRAHMANGAZI</t>
        </is>
      </c>
      <c r="B15" t="n">
        <v>34.5</v>
      </c>
      <c r="C15" t="n">
        <v>0.529</v>
      </c>
      <c r="D15" t="n">
        <v>0.754</v>
      </c>
      <c r="E15" t="b">
        <v>1</v>
      </c>
      <c r="F15" t="b">
        <v>1</v>
      </c>
      <c r="G15" t="n">
        <v>0.225</v>
      </c>
    </row>
    <row r="16">
      <c r="A16" t="inlineStr">
        <is>
          <t>BATTALGAZI</t>
        </is>
      </c>
      <c r="B16" t="n">
        <v>18.4</v>
      </c>
      <c r="C16" t="n">
        <v>0.71</v>
      </c>
      <c r="D16" t="n">
        <v>0.71</v>
      </c>
      <c r="E16" t="b">
        <v>1</v>
      </c>
      <c r="F16" t="b">
        <v>1</v>
      </c>
      <c r="G16" t="n">
        <v>0</v>
      </c>
    </row>
    <row r="17">
      <c r="A17" t="inlineStr">
        <is>
          <t>AHMET YESEVI</t>
        </is>
      </c>
      <c r="B17" t="n">
        <v>19.8</v>
      </c>
      <c r="C17" t="n">
        <v>0.668</v>
      </c>
      <c r="D17" t="n">
        <v>0.668</v>
      </c>
      <c r="E17" t="b">
        <v>1</v>
      </c>
      <c r="F17" t="b">
        <v>1</v>
      </c>
      <c r="G17" t="n">
        <v>0</v>
      </c>
    </row>
    <row r="18">
      <c r="A18" t="inlineStr">
        <is>
          <t>MECIDIYE</t>
        </is>
      </c>
      <c r="B18" t="n">
        <v>15.5</v>
      </c>
      <c r="C18" t="n">
        <v>0.517</v>
      </c>
      <c r="D18" t="n">
        <v>0.517</v>
      </c>
      <c r="E18" t="b">
        <v>1</v>
      </c>
      <c r="F18" t="b">
        <v>1</v>
      </c>
      <c r="G18" t="n">
        <v>0</v>
      </c>
    </row>
  </sheetData>
  <conditionalFormatting sqref="C2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27" customWidth="1" min="5" max="5"/>
    <col width="27" customWidth="1" min="6" max="6"/>
  </cols>
  <sheetData>
    <row r="1">
      <c r="A1" s="3" t="inlineStr">
        <is>
          <t>Metrik</t>
        </is>
      </c>
      <c r="B1" s="3" t="inlineStr">
        <is>
          <t>Baseline 12</t>
        </is>
      </c>
      <c r="C1" s="3" t="inlineStr">
        <is>
          <t>Proposed 20</t>
        </is>
      </c>
      <c r="D1" s="3" t="inlineStr">
        <is>
          <t>Iyilesme_pp</t>
        </is>
      </c>
      <c r="E1" s="3" t="inlineStr">
        <is>
          <t>Kapsanan_Mahalle_Baseline</t>
        </is>
      </c>
      <c r="F1" s="3" t="inlineStr">
        <is>
          <t>Kapsanan_Mahalle_Proposed</t>
        </is>
      </c>
    </row>
    <row r="2">
      <c r="A2" t="inlineStr">
        <is>
          <t>Toplam Kapsama Skoru (17 mahalle, eşik μ≥0.50)</t>
        </is>
      </c>
      <c r="B2" t="inlineStr">
        <is>
          <t>76.5%</t>
        </is>
      </c>
      <c r="C2" t="inlineStr">
        <is>
          <t>82.4%</t>
        </is>
      </c>
      <c r="D2" t="inlineStr">
        <is>
          <t>+5.9</t>
        </is>
      </c>
      <c r="E2" t="inlineStr">
        <is>
          <t>13/17</t>
        </is>
      </c>
      <c r="F2" t="inlineStr">
        <is>
          <t>14/17</t>
        </is>
      </c>
    </row>
    <row r="3">
      <c r="A3" t="inlineStr">
        <is>
          <t>Toplam Kapsama Skoru (15 kentsel mahalle, eşik μ≥0.50)</t>
        </is>
      </c>
      <c r="B3" t="inlineStr">
        <is>
          <t>86.7%</t>
        </is>
      </c>
      <c r="C3" t="inlineStr">
        <is>
          <t>93.3%</t>
        </is>
      </c>
      <c r="D3" t="inlineStr">
        <is>
          <t>+6.7</t>
        </is>
      </c>
      <c r="E3" t="inlineStr">
        <is>
          <t>13/15</t>
        </is>
      </c>
      <c r="F3" t="inlineStr">
        <is>
          <t>14/15</t>
        </is>
      </c>
    </row>
    <row r="4">
      <c r="A4" t="inlineStr">
        <is>
          <t>Ortalama FCM μ (sürekli, 17 mahalle)</t>
        </is>
      </c>
      <c r="B4" t="inlineStr">
        <is>
          <t>0.658</t>
        </is>
      </c>
      <c r="C4" t="inlineStr">
        <is>
          <t>0.716</t>
        </is>
      </c>
      <c r="D4" t="inlineStr">
        <is>
          <t>+5.8%</t>
        </is>
      </c>
      <c r="E4" t="inlineStr">
        <is>
          <t>-</t>
        </is>
      </c>
      <c r="F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38" customWidth="1" min="3" max="3"/>
    <col width="10" customWidth="1" min="4" max="4"/>
    <col width="13" customWidth="1" min="5" max="5"/>
    <col width="17" customWidth="1" min="6" max="6"/>
    <col width="19" customWidth="1" min="7" max="7"/>
    <col width="19" customWidth="1" min="8" max="8"/>
    <col width="17" customWidth="1" min="9" max="9"/>
    <col width="5" customWidth="1" min="10" max="10"/>
    <col width="5" customWidth="1" min="11" max="11"/>
    <col width="11" customWidth="1" min="12" max="12"/>
    <col width="23" customWidth="1" min="13" max="13"/>
    <col width="8" customWidth="1" min="14" max="14"/>
    <col width="12" customWidth="1" min="15" max="15"/>
    <col width="18" customWidth="1" min="16" max="16"/>
    <col width="8" customWidth="1" min="17" max="17"/>
    <col width="8" customWidth="1" min="18" max="18"/>
    <col width="9" customWidth="1" min="19" max="19"/>
    <col width="12" customWidth="1" min="20" max="20"/>
    <col width="12" customWidth="1" min="21" max="21"/>
  </cols>
  <sheetData>
    <row r="1">
      <c r="A1" s="3" t="inlineStr">
        <is>
          <t>S_No</t>
        </is>
      </c>
      <c r="B1" s="3" t="inlineStr">
        <is>
          <t>AYDES_ID</t>
        </is>
      </c>
      <c r="C1" s="3" t="inlineStr">
        <is>
          <t>Alan_Adi</t>
        </is>
      </c>
      <c r="D1" s="3" t="inlineStr">
        <is>
          <t>Il</t>
        </is>
      </c>
      <c r="E1" s="3" t="inlineStr">
        <is>
          <t>Ilce</t>
        </is>
      </c>
      <c r="F1" s="3" t="inlineStr">
        <is>
          <t>Mahalle</t>
        </is>
      </c>
      <c r="G1" s="3" t="inlineStr">
        <is>
          <t>Enlem</t>
        </is>
      </c>
      <c r="H1" s="3" t="inlineStr">
        <is>
          <t>Boylam</t>
        </is>
      </c>
      <c r="I1" s="3" t="inlineStr">
        <is>
          <t>Arazi_Kullanimi</t>
        </is>
      </c>
      <c r="J1" s="3" t="inlineStr">
        <is>
          <t>Su</t>
        </is>
      </c>
      <c r="K1" s="3" t="inlineStr">
        <is>
          <t>WC</t>
        </is>
      </c>
      <c r="L1" s="3" t="inlineStr">
        <is>
          <t>Jenerator</t>
        </is>
      </c>
      <c r="M1" s="3" t="inlineStr">
        <is>
          <t>AFIS_Konteyner_Sayisi</t>
        </is>
      </c>
      <c r="N1" s="3" t="inlineStr">
        <is>
          <t>Kamera</t>
        </is>
      </c>
      <c r="O1" s="3" t="inlineStr">
        <is>
          <t>Haberlesme</t>
        </is>
      </c>
      <c r="P1" s="3" t="inlineStr">
        <is>
          <t>Oncelik_Derecesi</t>
        </is>
      </c>
      <c r="Q1" s="3" t="inlineStr">
        <is>
          <t>Su_bin</t>
        </is>
      </c>
      <c r="R1" s="3" t="inlineStr">
        <is>
          <t>WC_bin</t>
        </is>
      </c>
      <c r="S1" s="3" t="inlineStr">
        <is>
          <t>Jen_bin</t>
        </is>
      </c>
      <c r="T1" s="3" t="inlineStr">
        <is>
          <t>Kamera_bin</t>
        </is>
      </c>
      <c r="U1" s="3" t="inlineStr">
        <is>
          <t>AFIS_count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Q3" t="n">
        <v>1</v>
      </c>
      <c r="R3" t="n">
        <v>1</v>
      </c>
      <c r="S3" t="n">
        <v>0</v>
      </c>
      <c r="T3" t="n">
        <v>1</v>
      </c>
      <c r="U3" t="n">
        <v>0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Q5" t="n">
        <v>1</v>
      </c>
      <c r="R5" t="n">
        <v>1</v>
      </c>
      <c r="S5" t="n">
        <v>0</v>
      </c>
      <c r="T5" t="n">
        <v>1</v>
      </c>
      <c r="U5" t="n">
        <v>0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Q8" t="n">
        <v>1</v>
      </c>
      <c r="R8" t="n">
        <v>1</v>
      </c>
      <c r="S8" t="n">
        <v>0</v>
      </c>
      <c r="T8" t="n">
        <v>1</v>
      </c>
      <c r="U8" t="n">
        <v>0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Q12" t="n">
        <v>1</v>
      </c>
      <c r="R12" t="n">
        <v>1</v>
      </c>
      <c r="S12" t="n">
        <v>0</v>
      </c>
      <c r="T12" t="n">
        <v>1</v>
      </c>
      <c r="U12" t="n">
        <v>0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Q13" t="n">
        <v>1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Q14" t="n">
        <v>1</v>
      </c>
      <c r="R14" t="n">
        <v>1</v>
      </c>
      <c r="S14" t="n">
        <v>1</v>
      </c>
      <c r="T14" t="n">
        <v>1</v>
      </c>
      <c r="U14" t="n">
        <v>0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Q15" t="n">
        <v>1</v>
      </c>
      <c r="R15" t="n">
        <v>1</v>
      </c>
      <c r="S15" t="n">
        <v>1</v>
      </c>
      <c r="T15" t="n">
        <v>1</v>
      </c>
      <c r="U15" t="n">
        <v>0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Q16" t="n">
        <v>1</v>
      </c>
      <c r="R16" t="n">
        <v>1</v>
      </c>
      <c r="S16" t="n">
        <v>0</v>
      </c>
      <c r="T16" t="n">
        <v>1</v>
      </c>
      <c r="U16" t="n">
        <v>0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Q17" t="n">
        <v>1</v>
      </c>
      <c r="R17" t="n">
        <v>1</v>
      </c>
      <c r="S17" t="n">
        <v>0</v>
      </c>
      <c r="T17" t="n">
        <v>1</v>
      </c>
      <c r="U17" t="n">
        <v>0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Q19" t="n">
        <v>1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Q21" t="n">
        <v>1</v>
      </c>
      <c r="R21" t="n">
        <v>1</v>
      </c>
      <c r="S21" t="n">
        <v>0</v>
      </c>
      <c r="T21" t="n">
        <v>1</v>
      </c>
      <c r="U21" t="n">
        <v>0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Q25" t="n">
        <v>1</v>
      </c>
      <c r="R25" t="n">
        <v>1</v>
      </c>
      <c r="S25" t="n">
        <v>1</v>
      </c>
      <c r="T25" t="n">
        <v>1</v>
      </c>
      <c r="U25" t="n">
        <v>0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Q27" t="n">
        <v>1</v>
      </c>
      <c r="R27" t="n">
        <v>1</v>
      </c>
      <c r="S27" t="n">
        <v>0</v>
      </c>
      <c r="T27" t="n">
        <v>1</v>
      </c>
      <c r="U27" t="n">
        <v>0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Q28" t="n">
        <v>1</v>
      </c>
      <c r="R28" t="n">
        <v>1</v>
      </c>
      <c r="S28" t="n">
        <v>0</v>
      </c>
      <c r="T28" t="n">
        <v>1</v>
      </c>
      <c r="U28" t="n">
        <v>0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Q29" t="n">
        <v>1</v>
      </c>
      <c r="R29" t="n">
        <v>1</v>
      </c>
      <c r="S29" t="n">
        <v>0</v>
      </c>
      <c r="T29" t="n">
        <v>1</v>
      </c>
      <c r="U29" t="n">
        <v>0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Q30" t="n">
        <v>1</v>
      </c>
      <c r="R30" t="n">
        <v>1</v>
      </c>
      <c r="S30" t="n">
        <v>0</v>
      </c>
      <c r="T30" t="n">
        <v>0</v>
      </c>
      <c r="U30" t="n">
        <v>0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Q31" t="n">
        <v>1</v>
      </c>
      <c r="R31" t="n">
        <v>1</v>
      </c>
      <c r="S31" t="n">
        <v>0</v>
      </c>
      <c r="T31" t="n">
        <v>0</v>
      </c>
      <c r="U31" t="n">
        <v>0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Q33" t="n">
        <v>1</v>
      </c>
      <c r="R33" t="n">
        <v>1</v>
      </c>
      <c r="S33" t="n">
        <v>0</v>
      </c>
      <c r="T33" t="n">
        <v>0</v>
      </c>
      <c r="U33" t="n">
        <v>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Q35" t="n">
        <v>1</v>
      </c>
      <c r="R35" t="n">
        <v>1</v>
      </c>
      <c r="S35" t="n">
        <v>1</v>
      </c>
      <c r="T35" t="n">
        <v>1</v>
      </c>
      <c r="U35" t="n">
        <v>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Q37" t="n">
        <v>1</v>
      </c>
      <c r="R37" t="n">
        <v>1</v>
      </c>
      <c r="S37" t="n">
        <v>1</v>
      </c>
      <c r="T37" t="n">
        <v>1</v>
      </c>
      <c r="U37" t="n">
        <v>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Q38" t="n">
        <v>1</v>
      </c>
      <c r="R38" t="n">
        <v>0</v>
      </c>
      <c r="S38" t="n">
        <v>0</v>
      </c>
      <c r="T38" t="n">
        <v>1</v>
      </c>
      <c r="U38" t="n">
        <v>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Q39" t="n">
        <v>1</v>
      </c>
      <c r="R39" t="n">
        <v>1</v>
      </c>
      <c r="S39" t="n">
        <v>0</v>
      </c>
      <c r="T39" t="n">
        <v>1</v>
      </c>
      <c r="U39" t="n">
        <v>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Q40" t="n">
        <v>1</v>
      </c>
      <c r="R40" t="n">
        <v>1</v>
      </c>
      <c r="S40" t="n">
        <v>0</v>
      </c>
      <c r="T40" t="n">
        <v>1</v>
      </c>
      <c r="U40" t="n">
        <v>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Q41" t="n">
        <v>1</v>
      </c>
      <c r="R41" t="n">
        <v>1</v>
      </c>
      <c r="S41" t="n">
        <v>0</v>
      </c>
      <c r="T41" t="n">
        <v>1</v>
      </c>
      <c r="U41" t="n">
        <v>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Q43" t="n">
        <v>1</v>
      </c>
      <c r="R43" t="n">
        <v>1</v>
      </c>
      <c r="S43" t="n">
        <v>1</v>
      </c>
      <c r="T43" t="n">
        <v>1</v>
      </c>
      <c r="U43" t="n">
        <v>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Q45" t="n">
        <v>1</v>
      </c>
      <c r="R45" t="n">
        <v>1</v>
      </c>
      <c r="S45" t="n">
        <v>1</v>
      </c>
      <c r="T45" t="n">
        <v>1</v>
      </c>
      <c r="U45" t="n">
        <v>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Q47" t="n">
        <v>0</v>
      </c>
      <c r="R47" t="n">
        <v>1</v>
      </c>
      <c r="S47" t="n">
        <v>0</v>
      </c>
      <c r="T47" t="n">
        <v>1</v>
      </c>
      <c r="U47" t="n">
        <v>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Q48" t="n">
        <v>1</v>
      </c>
      <c r="R48" t="n">
        <v>1</v>
      </c>
      <c r="S48" t="n">
        <v>1</v>
      </c>
      <c r="T48" t="n">
        <v>1</v>
      </c>
      <c r="U48" t="n">
        <v>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Q49" t="n">
        <v>1</v>
      </c>
      <c r="R49" t="n">
        <v>0</v>
      </c>
      <c r="S49" t="n">
        <v>0</v>
      </c>
      <c r="T49" t="n">
        <v>1</v>
      </c>
      <c r="U49" t="n">
        <v>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Q50" t="n">
        <v>1</v>
      </c>
      <c r="R50" t="n">
        <v>1</v>
      </c>
      <c r="S50" t="n">
        <v>0</v>
      </c>
      <c r="T50" t="n">
        <v>1</v>
      </c>
      <c r="U50" t="n">
        <v>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Q52" t="n">
        <v>1</v>
      </c>
      <c r="R52" t="n">
        <v>1</v>
      </c>
      <c r="S52" t="n">
        <v>0</v>
      </c>
      <c r="T52" t="n">
        <v>1</v>
      </c>
      <c r="U52" t="n">
        <v>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Q53" t="n">
        <v>1</v>
      </c>
      <c r="R53" t="n">
        <v>1</v>
      </c>
      <c r="S53" t="n">
        <v>1</v>
      </c>
      <c r="T53" t="n">
        <v>1</v>
      </c>
      <c r="U53" t="n">
        <v>0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Q54" t="n">
        <v>1</v>
      </c>
      <c r="R54" t="n">
        <v>1</v>
      </c>
      <c r="S54" t="n">
        <v>0</v>
      </c>
      <c r="T54" t="n">
        <v>1</v>
      </c>
      <c r="U54" t="n">
        <v>0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Q55" t="n">
        <v>1</v>
      </c>
      <c r="R55" t="n">
        <v>1</v>
      </c>
      <c r="S55" t="n">
        <v>0</v>
      </c>
      <c r="T55" t="n">
        <v>0</v>
      </c>
      <c r="U55" t="n">
        <v>0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Q56" t="n">
        <v>1</v>
      </c>
      <c r="R56" t="n">
        <v>1</v>
      </c>
      <c r="S56" t="n">
        <v>0</v>
      </c>
      <c r="T56" t="n">
        <v>1</v>
      </c>
      <c r="U56" t="n">
        <v>0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Q58" t="n">
        <v>1</v>
      </c>
      <c r="R58" t="n">
        <v>1</v>
      </c>
      <c r="S58" t="n">
        <v>0</v>
      </c>
      <c r="T58" t="n">
        <v>1</v>
      </c>
      <c r="U58" t="n">
        <v>0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Q59" t="n">
        <v>1</v>
      </c>
      <c r="R59" t="n">
        <v>1</v>
      </c>
      <c r="S59" t="n">
        <v>1</v>
      </c>
      <c r="T59" t="n">
        <v>1</v>
      </c>
      <c r="U59" t="n">
        <v>0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Q61" t="n">
        <v>1</v>
      </c>
      <c r="R61" t="n">
        <v>0</v>
      </c>
      <c r="S61" t="n">
        <v>0</v>
      </c>
      <c r="T61" t="n">
        <v>1</v>
      </c>
      <c r="U61" t="n">
        <v>0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Q62" t="n">
        <v>1</v>
      </c>
      <c r="R62" t="n">
        <v>1</v>
      </c>
      <c r="S62" t="n">
        <v>0</v>
      </c>
      <c r="T62" t="n">
        <v>0</v>
      </c>
      <c r="U62" t="n">
        <v>0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Q63" t="n">
        <v>1</v>
      </c>
      <c r="R63" t="n">
        <v>1</v>
      </c>
      <c r="S63" t="n">
        <v>0</v>
      </c>
      <c r="T63" t="n">
        <v>1</v>
      </c>
      <c r="U63" t="n">
        <v>0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Q64" t="n">
        <v>1</v>
      </c>
      <c r="R64" t="n">
        <v>0</v>
      </c>
      <c r="S64" t="n">
        <v>0</v>
      </c>
      <c r="T64" t="n">
        <v>1</v>
      </c>
      <c r="U64" t="n">
        <v>0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Q65" t="n">
        <v>0</v>
      </c>
      <c r="R65" t="n">
        <v>0</v>
      </c>
      <c r="S65" t="n">
        <v>0</v>
      </c>
      <c r="T65" t="n">
        <v>1</v>
      </c>
      <c r="U65" t="n">
        <v>0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Q66" t="n">
        <v>1</v>
      </c>
      <c r="R66" t="n">
        <v>1</v>
      </c>
      <c r="S66" t="n">
        <v>0</v>
      </c>
      <c r="T66" t="n">
        <v>1</v>
      </c>
      <c r="U66" t="n">
        <v>0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Q67" t="n">
        <v>1</v>
      </c>
      <c r="R67" t="n">
        <v>1</v>
      </c>
      <c r="S67" t="n">
        <v>0</v>
      </c>
      <c r="T67" t="n">
        <v>1</v>
      </c>
      <c r="U67" t="n">
        <v>0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Q69" t="n">
        <v>1</v>
      </c>
      <c r="R69" t="n">
        <v>1</v>
      </c>
      <c r="S69" t="n">
        <v>1</v>
      </c>
      <c r="T69" t="n">
        <v>1</v>
      </c>
      <c r="U69" t="n">
        <v>0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Q71" t="n">
        <v>1</v>
      </c>
      <c r="R71" t="n">
        <v>1</v>
      </c>
      <c r="S71" t="n">
        <v>0</v>
      </c>
      <c r="T71" t="n">
        <v>1</v>
      </c>
      <c r="U71" t="n">
        <v>0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Q72" t="n">
        <v>1</v>
      </c>
      <c r="R72" t="n">
        <v>1</v>
      </c>
      <c r="S72" t="n">
        <v>0</v>
      </c>
      <c r="T72" t="n">
        <v>0</v>
      </c>
      <c r="U72" t="n">
        <v>0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Q74" t="n">
        <v>1</v>
      </c>
      <c r="R74" t="n">
        <v>1</v>
      </c>
      <c r="S74" t="n">
        <v>0</v>
      </c>
      <c r="T74" t="n">
        <v>1</v>
      </c>
      <c r="U74" t="n">
        <v>0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Q75" t="n">
        <v>1</v>
      </c>
      <c r="R75" t="n">
        <v>1</v>
      </c>
      <c r="S75" t="n">
        <v>0</v>
      </c>
      <c r="T75" t="n">
        <v>1</v>
      </c>
      <c r="U75" t="n">
        <v>0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Q77" t="n">
        <v>1</v>
      </c>
      <c r="R77" t="n">
        <v>1</v>
      </c>
      <c r="S77" t="n">
        <v>1</v>
      </c>
      <c r="T77" t="n">
        <v>0</v>
      </c>
      <c r="U77" t="n">
        <v>0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Q78" t="n">
        <v>0</v>
      </c>
      <c r="R78" t="n">
        <v>0</v>
      </c>
      <c r="S78" t="n">
        <v>1</v>
      </c>
      <c r="T78" t="n">
        <v>1</v>
      </c>
      <c r="U78" t="n">
        <v>0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Q82" t="n">
        <v>1</v>
      </c>
      <c r="R82" t="n">
        <v>1</v>
      </c>
      <c r="S82" t="n">
        <v>0</v>
      </c>
      <c r="T82" t="n">
        <v>0</v>
      </c>
      <c r="U82" t="n">
        <v>0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Q84" t="n">
        <v>1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Q85" t="n">
        <v>1</v>
      </c>
      <c r="R85" t="n">
        <v>1</v>
      </c>
      <c r="S85" t="n">
        <v>0</v>
      </c>
      <c r="T85" t="n">
        <v>0</v>
      </c>
      <c r="U85" t="n">
        <v>0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Q86" t="n">
        <v>1</v>
      </c>
      <c r="R86" t="n">
        <v>1</v>
      </c>
      <c r="S86" t="n">
        <v>0</v>
      </c>
      <c r="T86" t="n">
        <v>1</v>
      </c>
      <c r="U86" t="n">
        <v>0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Q89" t="n">
        <v>1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Q90" t="n">
        <v>1</v>
      </c>
      <c r="R90" t="n">
        <v>1</v>
      </c>
      <c r="S90" t="n">
        <v>1</v>
      </c>
      <c r="T90" t="n">
        <v>1</v>
      </c>
      <c r="U90" t="n">
        <v>0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Q91" t="n">
        <v>1</v>
      </c>
      <c r="R91" t="n">
        <v>1</v>
      </c>
      <c r="S91" t="n">
        <v>1</v>
      </c>
      <c r="T91" t="n">
        <v>0</v>
      </c>
      <c r="U91" t="n">
        <v>0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Q93" t="n">
        <v>1</v>
      </c>
      <c r="R93" t="n">
        <v>1</v>
      </c>
      <c r="S93" t="n">
        <v>1</v>
      </c>
      <c r="T93" t="n">
        <v>1</v>
      </c>
      <c r="U93" t="n">
        <v>0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Q94" t="n">
        <v>1</v>
      </c>
      <c r="R94" t="n">
        <v>1</v>
      </c>
      <c r="S94" t="n">
        <v>0</v>
      </c>
      <c r="T94" t="n">
        <v>0</v>
      </c>
      <c r="U94" t="n">
        <v>0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Q97" t="n">
        <v>1</v>
      </c>
      <c r="R97" t="n">
        <v>1</v>
      </c>
      <c r="S97" t="n">
        <v>1</v>
      </c>
      <c r="T97" t="n">
        <v>1</v>
      </c>
      <c r="U97" t="n">
        <v>0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Q98" t="n">
        <v>1</v>
      </c>
      <c r="R98" t="n">
        <v>1</v>
      </c>
      <c r="S98" t="n">
        <v>1</v>
      </c>
      <c r="T98" t="n">
        <v>1</v>
      </c>
      <c r="U98" t="n">
        <v>0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Q99" t="n">
        <v>0</v>
      </c>
      <c r="R99" t="n">
        <v>0</v>
      </c>
      <c r="S99" t="n">
        <v>0</v>
      </c>
      <c r="T99" t="n">
        <v>1</v>
      </c>
      <c r="U99" t="n">
        <v>0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Q106" t="n">
        <v>1</v>
      </c>
      <c r="R106" t="n">
        <v>1</v>
      </c>
      <c r="S106" t="n">
        <v>0</v>
      </c>
      <c r="T106" t="n">
        <v>1</v>
      </c>
      <c r="U106" t="n">
        <v>0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Q114" t="n">
        <v>1</v>
      </c>
      <c r="R114" t="n">
        <v>1</v>
      </c>
      <c r="S114" t="n">
        <v>1</v>
      </c>
      <c r="T114" t="n">
        <v>1</v>
      </c>
      <c r="U114" t="n">
        <v>0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Q121" t="n">
        <v>1</v>
      </c>
      <c r="R121" t="n">
        <v>1</v>
      </c>
      <c r="S121" t="n">
        <v>1</v>
      </c>
      <c r="T121" t="n">
        <v>0</v>
      </c>
      <c r="U121" t="n">
        <v>1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Q141" t="n">
        <v>1</v>
      </c>
      <c r="R141" t="n">
        <v>1</v>
      </c>
      <c r="S141" t="n">
        <v>1</v>
      </c>
      <c r="T141" t="n">
        <v>1</v>
      </c>
      <c r="U1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8" customWidth="1" min="3" max="3"/>
    <col width="19" customWidth="1" min="4" max="4"/>
    <col width="19" customWidth="1" min="5" max="5"/>
    <col width="36" customWidth="1" min="6" max="6"/>
  </cols>
  <sheetData>
    <row r="1">
      <c r="A1" s="3" t="inlineStr">
        <is>
          <t>container_no</t>
        </is>
      </c>
      <c r="B1" s="3" t="inlineStr">
        <is>
          <t>mahalle</t>
        </is>
      </c>
      <c r="C1" s="3" t="inlineStr">
        <is>
          <t>adres</t>
        </is>
      </c>
      <c r="D1" s="3" t="inlineStr">
        <is>
          <t>enlem</t>
        </is>
      </c>
      <c r="E1" s="3" t="inlineStr">
        <is>
          <t>boylam</t>
        </is>
      </c>
      <c r="F1" s="3" t="inlineStr">
        <is>
          <t>coord_source</t>
        </is>
      </c>
    </row>
    <row r="2">
      <c r="A2" t="n">
        <v>477</v>
      </c>
      <c r="B2" t="inlineStr">
        <is>
          <t>MIMAR SINAN</t>
        </is>
      </c>
      <c r="C2" t="inlineStr">
        <is>
          <t>Turk Hava Kurumu Gazi Ortaokulu</t>
        </is>
      </c>
      <c r="D2" t="n">
        <v>40.99135965208364</v>
      </c>
      <c r="E2" t="n">
        <v>29.26799970752074</v>
      </c>
      <c r="F2" t="inlineStr">
        <is>
          <t>AYDES_Sira_108</t>
        </is>
      </c>
    </row>
    <row r="3">
      <c r="A3" t="n">
        <v>218</v>
      </c>
      <c r="B3" t="inlineStr">
        <is>
          <t>ABDURRAHMANGAZI</t>
        </is>
      </c>
      <c r="C3" t="inlineStr">
        <is>
          <t>Aydos Kalesi Guvenlik Yani</t>
        </is>
      </c>
      <c r="D3" t="n">
        <v>40.95343883231818</v>
      </c>
      <c r="E3" t="n">
        <v>29.26311075774533</v>
      </c>
      <c r="F3" t="inlineStr">
        <is>
          <t>AYDES_Sira_84</t>
        </is>
      </c>
    </row>
    <row r="4">
      <c r="A4" t="n">
        <v>220</v>
      </c>
      <c r="B4" t="inlineStr">
        <is>
          <t>TURGUT REIS</t>
        </is>
      </c>
      <c r="C4" t="inlineStr">
        <is>
          <t>Polis Karakolu / Eski Emniyet</t>
        </is>
      </c>
      <c r="D4" t="n">
        <v>40.966</v>
      </c>
      <c r="E4" t="n">
        <v>29.2762</v>
      </c>
      <c r="F4" t="inlineStr">
        <is>
          <t>reverse_geocode_Turgut_Reis_police</t>
        </is>
      </c>
    </row>
    <row r="5">
      <c r="A5" t="n">
        <v>479</v>
      </c>
      <c r="B5" t="inlineStr">
        <is>
          <t>BATTALGAZI</t>
        </is>
      </c>
      <c r="C5" t="inlineStr">
        <is>
          <t>Sultan Korosu Acik Otoparki</t>
        </is>
      </c>
      <c r="D5" t="n">
        <v>40.9876</v>
      </c>
      <c r="E5" t="n">
        <v>29.2866</v>
      </c>
      <c r="F5" t="inlineStr">
        <is>
          <t>reverse_geocode_Sultan_Korosu</t>
        </is>
      </c>
    </row>
    <row r="6">
      <c r="A6" t="n">
        <v>498</v>
      </c>
      <c r="B6" t="inlineStr">
        <is>
          <t>BATTALGAZI</t>
        </is>
      </c>
      <c r="C6" t="inlineStr">
        <is>
          <t>Sultanbeyli Meslek ve Teknik Anadolu Lisesi</t>
        </is>
      </c>
      <c r="D6" t="n">
        <v>40.98431256785235</v>
      </c>
      <c r="E6" t="n">
        <v>29.28292602245544</v>
      </c>
      <c r="F6" t="inlineStr">
        <is>
          <t>AYDES_Sira_51</t>
        </is>
      </c>
    </row>
    <row r="7">
      <c r="A7" t="n">
        <v>396</v>
      </c>
      <c r="B7" t="inlineStr">
        <is>
          <t>HASANPASA</t>
        </is>
      </c>
      <c r="C7" t="inlineStr">
        <is>
          <t>Husnu M. Ozyegin Anadolu Lisesi</t>
        </is>
      </c>
      <c r="D7" t="n">
        <v>40.97099081886383</v>
      </c>
      <c r="E7" t="n">
        <v>29.25230054133037</v>
      </c>
      <c r="F7" t="inlineStr">
        <is>
          <t>AYDES_Sira_68</t>
        </is>
      </c>
    </row>
    <row r="8">
      <c r="A8" t="n">
        <v>225</v>
      </c>
      <c r="B8" t="inlineStr">
        <is>
          <t>ABDURRAHMANGAZI</t>
        </is>
      </c>
      <c r="C8" t="inlineStr">
        <is>
          <t>Saygi Hastanesi Otoparki</t>
        </is>
      </c>
      <c r="D8" t="n">
        <v>40.9699</v>
      </c>
      <c r="E8" t="n">
        <v>29.2579</v>
      </c>
      <c r="F8" t="inlineStr">
        <is>
          <t>reverse_geocode_Saygi_Hastanesi</t>
        </is>
      </c>
    </row>
    <row r="9">
      <c r="A9" t="n">
        <v>482</v>
      </c>
      <c r="B9" t="inlineStr">
        <is>
          <t>MEHMET AKIF</t>
        </is>
      </c>
      <c r="C9" t="inlineStr">
        <is>
          <t>Kiz Anadolu Imam Hatip Lisesi</t>
        </is>
      </c>
      <c r="D9" t="n">
        <v>40.96883920530261</v>
      </c>
      <c r="E9" t="n">
        <v>29.26740035418011</v>
      </c>
      <c r="F9" t="inlineStr">
        <is>
          <t>AYDES_Sira_85</t>
        </is>
      </c>
    </row>
    <row r="10">
      <c r="A10" t="n">
        <v>405</v>
      </c>
      <c r="B10" t="inlineStr">
        <is>
          <t>AKSEMSETTIN</t>
        </is>
      </c>
      <c r="C10" t="inlineStr">
        <is>
          <t>Aksemsettin Ilk ve Ortaogretim Okulu</t>
        </is>
      </c>
      <c r="D10" t="n">
        <v>40.94732537694204</v>
      </c>
      <c r="E10" t="n">
        <v>29.30228786317313</v>
      </c>
      <c r="F10" t="inlineStr">
        <is>
          <t>AYDES_Sira_26</t>
        </is>
      </c>
    </row>
    <row r="11">
      <c r="A11" t="n">
        <v>401</v>
      </c>
      <c r="B11" t="inlineStr">
        <is>
          <t>ORHANGAZI</t>
        </is>
      </c>
      <c r="C11" t="inlineStr">
        <is>
          <t>Orhangazi Imam-Hatip Ortaokulu</t>
        </is>
      </c>
      <c r="D11" t="n">
        <v>40.94071929172958</v>
      </c>
      <c r="E11" t="n">
        <v>29.29091708430066</v>
      </c>
      <c r="F11" t="inlineStr">
        <is>
          <t>AYDES_Sira_121</t>
        </is>
      </c>
    </row>
    <row r="12">
      <c r="A12" t="n">
        <v>403</v>
      </c>
      <c r="B12" t="inlineStr">
        <is>
          <t>NECIP FAZIL</t>
        </is>
      </c>
      <c r="C12" t="inlineStr">
        <is>
          <t>Cumhuriyet Ilkokulu ve Ortaogretim Okulu</t>
        </is>
      </c>
      <c r="D12" t="n">
        <v>40.93986791845225</v>
      </c>
      <c r="E12" t="n">
        <v>29.27358071445466</v>
      </c>
      <c r="F12" t="inlineStr">
        <is>
          <t>AYDES_Sira_115</t>
        </is>
      </c>
    </row>
    <row r="13">
      <c r="A13" t="n">
        <v>395</v>
      </c>
      <c r="B13" t="inlineStr">
        <is>
          <t>YAVUZ SELIM</t>
        </is>
      </c>
      <c r="C13" t="inlineStr">
        <is>
          <t>Yasar Pasali Ilkokulu</t>
        </is>
      </c>
      <c r="D13" t="n">
        <v>40.94995917382037</v>
      </c>
      <c r="E13" t="n">
        <v>29.27704768729355</v>
      </c>
      <c r="F13" t="inlineStr">
        <is>
          <t>AYDES_Sira_141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3" customWidth="1" min="3" max="3"/>
    <col width="18" customWidth="1" min="4" max="4"/>
    <col width="14" customWidth="1" min="5" max="5"/>
    <col width="12" customWidth="1" min="6" max="6"/>
  </cols>
  <sheetData>
    <row r="1">
      <c r="A1" s="3" t="inlineStr">
        <is>
          <t>mahalle</t>
        </is>
      </c>
      <c r="B1" s="3" t="inlineStr">
        <is>
          <t>can_kaybi</t>
        </is>
      </c>
      <c r="C1" s="3" t="inlineStr">
        <is>
          <t>agir_yarali</t>
        </is>
      </c>
      <c r="D1" s="3" t="inlineStr">
        <is>
          <t>hastanede_tedavi</t>
        </is>
      </c>
      <c r="E1" s="3" t="inlineStr">
        <is>
          <t>hafif_yarali</t>
        </is>
      </c>
      <c r="F1" s="3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</cols>
  <sheetData>
    <row r="1">
      <c r="A1" s="3" t="inlineStr">
        <is>
          <t>mahalle</t>
        </is>
      </c>
      <c r="B1" s="3" t="inlineStr">
        <is>
          <t>nufus_2024</t>
        </is>
      </c>
      <c r="C1" s="3" t="inlineStr">
        <is>
          <t>source</t>
        </is>
      </c>
    </row>
    <row r="2">
      <c r="A2" t="inlineStr">
        <is>
          <t>ABDURRAHMANGAZI</t>
        </is>
      </c>
      <c r="B2" t="n">
        <v>41200</v>
      </c>
      <c r="C2" t="inlineStr">
        <is>
          <t>TUIK_2024_fallback</t>
        </is>
      </c>
    </row>
    <row r="3">
      <c r="A3" t="inlineStr">
        <is>
          <t>ADIL</t>
        </is>
      </c>
      <c r="B3" t="n">
        <v>23800</v>
      </c>
      <c r="C3" t="inlineStr">
        <is>
          <t>TUIK_2024_fallback</t>
        </is>
      </c>
    </row>
    <row r="4">
      <c r="A4" t="inlineStr">
        <is>
          <t>AHMET YESEVI</t>
        </is>
      </c>
      <c r="B4" t="n">
        <v>28600</v>
      </c>
      <c r="C4" t="inlineStr">
        <is>
          <t>TUIK_2024_fallback</t>
        </is>
      </c>
    </row>
    <row r="5">
      <c r="A5" t="inlineStr">
        <is>
          <t>AKSEMSETTIN</t>
        </is>
      </c>
      <c r="B5" t="n">
        <v>16400</v>
      </c>
      <c r="C5" t="inlineStr">
        <is>
          <t>TUIK_2024_fallback</t>
        </is>
      </c>
    </row>
    <row r="6">
      <c r="A6" t="inlineStr">
        <is>
          <t>BATTALGAZI</t>
        </is>
      </c>
      <c r="B6" t="n">
        <v>26900</v>
      </c>
      <c r="C6" t="inlineStr">
        <is>
          <t>TUIK_2024_fallback</t>
        </is>
      </c>
    </row>
    <row r="7">
      <c r="A7" t="inlineStr">
        <is>
          <t>FATIH</t>
        </is>
      </c>
      <c r="B7" t="n">
        <v>19300</v>
      </c>
      <c r="C7" t="inlineStr">
        <is>
          <t>TUIK_2024_fallback</t>
        </is>
      </c>
    </row>
    <row r="8">
      <c r="A8" t="inlineStr">
        <is>
          <t>HAMIDIYE</t>
        </is>
      </c>
      <c r="B8" t="n">
        <v>22700</v>
      </c>
      <c r="C8" t="inlineStr">
        <is>
          <t>TUIK_2024_fallback</t>
        </is>
      </c>
    </row>
    <row r="9">
      <c r="A9" t="inlineStr">
        <is>
          <t>HASANPASA</t>
        </is>
      </c>
      <c r="B9" t="n">
        <v>18300</v>
      </c>
      <c r="C9" t="inlineStr">
        <is>
          <t>TUIK_2024_fallback</t>
        </is>
      </c>
    </row>
    <row r="10">
      <c r="A10" t="inlineStr">
        <is>
          <t>MECIDIYE</t>
        </is>
      </c>
      <c r="B10" t="n">
        <v>25400</v>
      </c>
      <c r="C10" t="inlineStr">
        <is>
          <t>TUIK_2024_fallback</t>
        </is>
      </c>
    </row>
    <row r="11">
      <c r="A11" t="inlineStr">
        <is>
          <t>MEHMET AKIF</t>
        </is>
      </c>
      <c r="B11" t="n">
        <v>31100</v>
      </c>
      <c r="C11" t="inlineStr">
        <is>
          <t>TUIK_2024_fallback</t>
        </is>
      </c>
    </row>
    <row r="12">
      <c r="A12" t="inlineStr">
        <is>
          <t>MIMAR SINAN</t>
        </is>
      </c>
      <c r="B12" t="n">
        <v>32600</v>
      </c>
      <c r="C12" t="inlineStr">
        <is>
          <t>TUIK_2024_fallback</t>
        </is>
      </c>
    </row>
    <row r="13">
      <c r="A13" t="inlineStr">
        <is>
          <t>NECIP FAZIL</t>
        </is>
      </c>
      <c r="B13" t="n">
        <v>21200</v>
      </c>
      <c r="C13" t="inlineStr">
        <is>
          <t>TUIK_2024_fallback</t>
        </is>
      </c>
    </row>
    <row r="14">
      <c r="A14" t="inlineStr">
        <is>
          <t>ORHANGAZI</t>
        </is>
      </c>
      <c r="B14" t="n">
        <v>19400</v>
      </c>
      <c r="C14" t="inlineStr">
        <is>
          <t>TUIK_2024_fallback</t>
        </is>
      </c>
    </row>
    <row r="15">
      <c r="A15" t="inlineStr">
        <is>
          <t>TURGUT REIS</t>
        </is>
      </c>
      <c r="B15" t="n">
        <v>16900</v>
      </c>
      <c r="C15" t="inlineStr">
        <is>
          <t>TUIK_2024_fallback</t>
        </is>
      </c>
    </row>
    <row r="16">
      <c r="A16" t="inlineStr">
        <is>
          <t>YAVUZ SELIM</t>
        </is>
      </c>
      <c r="B16" t="n">
        <v>22100</v>
      </c>
      <c r="C16" t="inlineStr">
        <is>
          <t>TUIK_2024_fallback</t>
        </is>
      </c>
    </row>
    <row r="17">
      <c r="A17" t="inlineStr">
        <is>
          <t>SALGAMLI DEVLET ORMANI</t>
        </is>
      </c>
      <c r="B17" t="n">
        <v>0</v>
      </c>
      <c r="C17" t="inlineStr">
        <is>
          <t>TUIK_2024_fallback</t>
        </is>
      </c>
    </row>
    <row r="18">
      <c r="A18" t="inlineStr">
        <is>
          <t>TEFERRUC TEPE ORMANI</t>
        </is>
      </c>
      <c r="B18" t="n">
        <v>0</v>
      </c>
      <c r="C18" t="inlineStr">
        <is>
          <t>TUIK_2024_fallback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17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2" customWidth="1" min="18" max="18"/>
    <col width="23" customWidth="1" min="19" max="19"/>
    <col width="23" customWidth="1" min="20" max="20"/>
    <col width="20" customWidth="1" min="21" max="21"/>
  </cols>
  <sheetData>
    <row r="1">
      <c r="A1" s="3" t="inlineStr">
        <is>
          <t>_id</t>
        </is>
      </c>
      <c r="B1" s="3" t="inlineStr">
        <is>
          <t>S_No</t>
        </is>
      </c>
      <c r="C1" s="3" t="inlineStr">
        <is>
          <t>Mahalle</t>
        </is>
      </c>
      <c r="D1" s="3" t="inlineStr">
        <is>
          <t>ABDURRAHMANGAZI</t>
        </is>
      </c>
      <c r="E1" s="3" t="inlineStr">
        <is>
          <t>ADIL</t>
        </is>
      </c>
      <c r="F1" s="3" t="inlineStr">
        <is>
          <t>AHMET YESEVI</t>
        </is>
      </c>
      <c r="G1" s="3" t="inlineStr">
        <is>
          <t>AKSEMSETTIN</t>
        </is>
      </c>
      <c r="H1" s="3" t="inlineStr">
        <is>
          <t>BATTALGAZI</t>
        </is>
      </c>
      <c r="I1" s="3" t="inlineStr">
        <is>
          <t>FATIH</t>
        </is>
      </c>
      <c r="J1" s="3" t="inlineStr">
        <is>
          <t>HAMIDIYE</t>
        </is>
      </c>
      <c r="K1" s="3" t="inlineStr">
        <is>
          <t>HASANPASA</t>
        </is>
      </c>
      <c r="L1" s="3" t="inlineStr">
        <is>
          <t>MECIDIYE</t>
        </is>
      </c>
      <c r="M1" s="3" t="inlineStr">
        <is>
          <t>MEHMET AKIF</t>
        </is>
      </c>
      <c r="N1" s="3" t="inlineStr">
        <is>
          <t>MIMAR SINAN</t>
        </is>
      </c>
      <c r="O1" s="3" t="inlineStr">
        <is>
          <t>NECIP FAZIL</t>
        </is>
      </c>
      <c r="P1" s="3" t="inlineStr">
        <is>
          <t>ORHANGAZI</t>
        </is>
      </c>
      <c r="Q1" s="3" t="inlineStr">
        <is>
          <t>SALGAMLI DEVLET ORMANI</t>
        </is>
      </c>
      <c r="R1" s="3" t="inlineStr">
        <is>
          <t>TEFERRUC TEPE ORMANI</t>
        </is>
      </c>
      <c r="S1" s="3" t="inlineStr">
        <is>
          <t>TURGUT REIS</t>
        </is>
      </c>
      <c r="T1" s="3" t="inlineStr">
        <is>
          <t>YAVUZ SELIM</t>
        </is>
      </c>
      <c r="U1" s="3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7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2" customWidth="1" min="18" max="18"/>
    <col width="23" customWidth="1" min="19" max="19"/>
    <col width="23" customWidth="1" min="20" max="20"/>
    <col width="20" customWidth="1" min="21" max="21"/>
  </cols>
  <sheetData>
    <row r="1">
      <c r="A1" s="3" t="inlineStr">
        <is>
          <t>_id</t>
        </is>
      </c>
      <c r="B1" s="3" t="inlineStr">
        <is>
          <t>container_no</t>
        </is>
      </c>
      <c r="C1" s="3" t="inlineStr">
        <is>
          <t>mahalle</t>
        </is>
      </c>
      <c r="D1" s="3" t="inlineStr">
        <is>
          <t>ABDURRAHMANGAZI</t>
        </is>
      </c>
      <c r="E1" s="3" t="inlineStr">
        <is>
          <t>ADIL</t>
        </is>
      </c>
      <c r="F1" s="3" t="inlineStr">
        <is>
          <t>AHMET YESEVI</t>
        </is>
      </c>
      <c r="G1" s="3" t="inlineStr">
        <is>
          <t>AKSEMSETTIN</t>
        </is>
      </c>
      <c r="H1" s="3" t="inlineStr">
        <is>
          <t>BATTALGAZI</t>
        </is>
      </c>
      <c r="I1" s="3" t="inlineStr">
        <is>
          <t>FATIH</t>
        </is>
      </c>
      <c r="J1" s="3" t="inlineStr">
        <is>
          <t>HAMIDIYE</t>
        </is>
      </c>
      <c r="K1" s="3" t="inlineStr">
        <is>
          <t>HASANPASA</t>
        </is>
      </c>
      <c r="L1" s="3" t="inlineStr">
        <is>
          <t>MECIDIYE</t>
        </is>
      </c>
      <c r="M1" s="3" t="inlineStr">
        <is>
          <t>MEHMET AKIF</t>
        </is>
      </c>
      <c r="N1" s="3" t="inlineStr">
        <is>
          <t>MIMAR SINAN</t>
        </is>
      </c>
      <c r="O1" s="3" t="inlineStr">
        <is>
          <t>NECIP FAZIL</t>
        </is>
      </c>
      <c r="P1" s="3" t="inlineStr">
        <is>
          <t>ORHANGAZI</t>
        </is>
      </c>
      <c r="Q1" s="3" t="inlineStr">
        <is>
          <t>SALGAMLI DEVLET ORMANI</t>
        </is>
      </c>
      <c r="R1" s="3" t="inlineStr">
        <is>
          <t>TEFERRUC TEPE ORMANI</t>
        </is>
      </c>
      <c r="S1" s="3" t="inlineStr">
        <is>
          <t>TURGUT REIS</t>
        </is>
      </c>
      <c r="T1" s="3" t="inlineStr">
        <is>
          <t>YAVUZ SELIM</t>
        </is>
      </c>
      <c r="U1" s="3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9" customWidth="1" min="3" max="3"/>
    <col width="19" customWidth="1" min="4" max="4"/>
    <col width="12" customWidth="1" min="5" max="5"/>
    <col width="12" customWidth="1" min="6" max="6"/>
  </cols>
  <sheetData>
    <row r="1">
      <c r="A1" s="3" t="inlineStr">
        <is>
          <t>mahalle_norm</t>
        </is>
      </c>
      <c r="B1" s="3" t="inlineStr">
        <is>
          <t>mahalle_display</t>
        </is>
      </c>
      <c r="C1" s="3" t="inlineStr">
        <is>
          <t>enlem</t>
        </is>
      </c>
      <c r="D1" s="3" t="inlineStr">
        <is>
          <t>boylam</t>
        </is>
      </c>
      <c r="E1" s="3" t="inlineStr">
        <is>
          <t>nufus_2024</t>
        </is>
      </c>
      <c r="F1" s="3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40.96184792335158</v>
      </c>
      <c r="D2" t="n">
        <v>29.25650058649216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40.94565149847494</v>
      </c>
      <c r="D5" t="n">
        <v>29.30084671346424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40.9846465461429</v>
      </c>
      <c r="D6" t="n">
        <v>29.27505323194375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40.96869729104375</v>
      </c>
      <c r="D9" t="n">
        <v>29.24916574794139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40.95939695696654</v>
      </c>
      <c r="D11" t="n">
        <v>29.26436580069803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40.99461970265972</v>
      </c>
      <c r="D12" t="n">
        <v>29.2686357670513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40.93910287248348</v>
      </c>
      <c r="D13" t="n">
        <v>29.27460161541382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40.94178453777047</v>
      </c>
      <c r="D14" t="n">
        <v>29.28915692321121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40.96622201123026</v>
      </c>
      <c r="D17" t="n">
        <v>29.28222295488914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40.94762297017828</v>
      </c>
      <c r="D18" t="n">
        <v>29.27380783696186</v>
      </c>
      <c r="E18" t="n">
        <v>22100</v>
      </c>
      <c r="F18" t="n">
        <v>17.2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38" customWidth="1" min="3" max="3"/>
    <col width="17" customWidth="1" min="4" max="4"/>
    <col width="17" customWidth="1" min="5" max="5"/>
    <col width="19" customWidth="1" min="6" max="6"/>
    <col width="19" customWidth="1" min="7" max="7"/>
    <col width="11" customWidth="1" min="8" max="8"/>
    <col width="20" customWidth="1" min="9" max="9"/>
    <col width="19" customWidth="1" min="10" max="10"/>
    <col width="13" customWidth="1" min="11" max="11"/>
  </cols>
  <sheetData>
    <row r="1">
      <c r="A1" s="3" t="inlineStr">
        <is>
          <t>S_No</t>
        </is>
      </c>
      <c r="B1" s="3" t="inlineStr">
        <is>
          <t>AYDES_ID</t>
        </is>
      </c>
      <c r="C1" s="3" t="inlineStr">
        <is>
          <t>Alan_Adi</t>
        </is>
      </c>
      <c r="D1" s="3" t="inlineStr">
        <is>
          <t>Mahalle</t>
        </is>
      </c>
      <c r="E1" s="3" t="inlineStr">
        <is>
          <t>Mahalle_norm</t>
        </is>
      </c>
      <c r="F1" s="3" t="inlineStr">
        <is>
          <t>Enlem</t>
        </is>
      </c>
      <c r="G1" s="3" t="inlineStr">
        <is>
          <t>Boylam</t>
        </is>
      </c>
      <c r="H1" s="3" t="inlineStr">
        <is>
          <t>C1_Damage</t>
        </is>
      </c>
      <c r="I1" s="3" t="inlineStr">
        <is>
          <t>C2_Logistics</t>
        </is>
      </c>
      <c r="J1" s="3" t="inlineStr">
        <is>
          <t>C3_GapDistance_m</t>
        </is>
      </c>
      <c r="K1" s="3" t="inlineStr">
        <is>
          <t>C4_NightPop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</cols>
  <sheetData>
    <row r="1">
      <c r="A1" s="4" t="inlineStr">
        <is>
          <t>AHP Weight Robustness - intra-scenario test</t>
        </is>
      </c>
    </row>
    <row r="2">
      <c r="A2" t="inlineStr">
        <is>
          <t>Test</t>
        </is>
      </c>
      <c r="B2" t="inlineStr">
        <is>
          <t>Value</t>
        </is>
      </c>
    </row>
    <row r="3">
      <c r="A3" t="inlineStr">
        <is>
          <t>Test type</t>
        </is>
      </c>
      <c r="B3" t="inlineStr">
        <is>
          <t>Micro-perturbation within Baseline scenario</t>
        </is>
      </c>
    </row>
    <row r="4">
      <c r="A4" t="inlineStr">
        <is>
          <t>Weight set A (ours)</t>
        </is>
      </c>
      <c r="B4" t="inlineStr">
        <is>
          <t>[0.541, 0.254, 0.117, 0.088]</t>
        </is>
      </c>
    </row>
    <row r="5">
      <c r="A5" t="inlineStr">
        <is>
          <t>Weight set B (alt)</t>
        </is>
      </c>
      <c r="B5" t="inlineStr">
        <is>
          <t>[0.534, 0.265, 0.114, 0.087]</t>
        </is>
      </c>
    </row>
    <row r="6">
      <c r="A6" t="inlineStr">
        <is>
          <t>Spearman rank correlation (rho)</t>
        </is>
      </c>
      <c r="B6" s="7" t="n">
        <v>0.99942</v>
      </c>
    </row>
    <row r="7">
      <c r="A7" t="inlineStr">
        <is>
          <t>p-value</t>
        </is>
      </c>
      <c r="B7" s="8" t="n">
        <v>1.35e-204</v>
      </c>
    </row>
    <row r="8">
      <c r="A8" t="inlineStr">
        <is>
          <t>Mean |CC_A - CC_B|</t>
        </is>
      </c>
      <c r="B8" s="7" t="n">
        <v>0.00521</v>
      </c>
    </row>
    <row r="9">
      <c r="A9" t="inlineStr">
        <is>
          <t>Max |CC_A - CC_B|</t>
        </is>
      </c>
      <c r="B9" s="7" t="n">
        <v>0.01152</v>
      </c>
    </row>
    <row r="10">
      <c r="A10" t="inlineStr">
        <is>
          <t>Top-10 order</t>
        </is>
      </c>
      <c r="B10" t="inlineStr">
        <is>
          <t>Identical (S2, S62, S4, S61, S7, S81, S5, S60, S59, S84)</t>
        </is>
      </c>
    </row>
    <row r="11">
      <c r="A11" t="inlineStr">
        <is>
          <t>0-1 IP final selection</t>
        </is>
      </c>
      <c r="B11" t="inlineStr">
        <is>
          <t>Unchanged (S4, S59, S60, S61, S62, S83, S88, S141)</t>
        </is>
      </c>
    </row>
    <row r="12">
      <c r="A12" t="inlineStr">
        <is>
          <t>Interpretation</t>
        </is>
      </c>
      <c r="B12" t="inlineStr">
        <is>
          <t>Solution is AHP-robust: FCM coverage constraint is binding, not AHP weighting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0" customWidth="1" min="4" max="4"/>
  </cols>
  <sheetData>
    <row r="1">
      <c r="A1" s="9" t="inlineStr">
        <is>
          <t>Akademik Kritik Degerlendirme - Sultanbeyli Konteyner Optimizasyonu</t>
        </is>
      </c>
    </row>
    <row r="2">
      <c r="A2" s="10" t="inlineStr">
        <is>
          <t xml:space="preserve">**Tarih:** Ocak 2026  </t>
        </is>
      </c>
    </row>
    <row r="3">
      <c r="A3" s="10" t="inlineStr">
        <is>
          <t>**Degerlendirme kapsami:** Cozum metodolojisi, sonuclarin tutarliligi, gelistirme olanaklari, alternatif yaklasimlar</t>
        </is>
      </c>
    </row>
    <row r="4">
      <c r="A4" s="10" t="inlineStr">
        <is>
          <t>---</t>
        </is>
      </c>
    </row>
    <row r="6">
      <c r="A6" s="11" t="inlineStr">
        <is>
          <t>1. Cozum Dogru mu? (Validation)</t>
        </is>
      </c>
    </row>
    <row r="8">
      <c r="A8" s="12" t="inlineStr">
        <is>
          <t>1.1 Sonucun tutarliligi</t>
        </is>
      </c>
    </row>
    <row r="9">
      <c r="A9" s="13" t="inlineStr">
        <is>
          <t>Dogrulama testi</t>
        </is>
      </c>
      <c r="B9" s="13" t="inlineStr">
        <is>
          <t>Sonuc</t>
        </is>
      </c>
      <c r="C9" s="13" t="inlineStr">
        <is>
          <t>Yorum</t>
        </is>
      </c>
    </row>
    <row r="10">
      <c r="A10" s="13" t="inlineStr">
        <is>
          <t>---</t>
        </is>
      </c>
      <c r="B10" s="13" t="inlineStr">
        <is>
          <t>---</t>
        </is>
      </c>
      <c r="C10" s="13" t="inlineStr">
        <is>
          <t>---</t>
        </is>
      </c>
    </row>
    <row r="11">
      <c r="A11" s="13" t="inlineStr">
        <is>
          <t>AHP ikili matris CR &lt; 0.10</t>
        </is>
      </c>
      <c r="B11" s="13" t="inlineStr">
        <is>
          <t>**0.0545** (Baseline), 0.0615, 0.0395</t>
        </is>
      </c>
      <c r="C11" s="13" t="inlineStr">
        <is>
          <t>Tum senaryolarda tutarli</t>
        </is>
      </c>
    </row>
    <row r="12">
      <c r="A12" s="13" t="inlineStr">
        <is>
          <t>3 AHP x 2 IP modu = 6 varyant</t>
        </is>
      </c>
      <c r="B12" s="13" t="inlineStr">
        <is>
          <t>**Hepsi ayni secim** (S4, S59, S60, S61, S62, S83, S88, S141)</t>
        </is>
      </c>
      <c r="C12" s="13" t="inlineStr">
        <is>
          <t>FCM kisiti baglayici</t>
        </is>
      </c>
    </row>
    <row r="13">
      <c r="A13" s="13" t="inlineStr">
        <is>
          <t>AHP agirligi +/- 1.5 pp kayma</t>
        </is>
      </c>
      <c r="B13" s="13" t="inlineStr">
        <is>
          <t>**Spearman rho = 0.9994** (Top-10 ayni)</t>
        </is>
      </c>
      <c r="C13" s="13" t="inlineStr">
        <is>
          <t>Agirliklara dayanikli</t>
        </is>
      </c>
    </row>
    <row r="14">
      <c r="A14" s="13" t="inlineStr">
        <is>
          <t>C4 degisimi (gece nufusu -&gt; IBB barinma ihtiyaci)</t>
        </is>
      </c>
      <c r="B14" s="13" t="inlineStr">
        <is>
          <t>**Secim degismez**, Z = 935.62</t>
        </is>
      </c>
      <c r="C14" s="13" t="inlineStr">
        <is>
          <t>Talep proxy'sine dayanikli</t>
        </is>
      </c>
    </row>
    <row r="15">
      <c r="A15" s="13" t="inlineStr">
        <is>
          <t>Tum kritik mahalleler mu &gt;= 0.50</t>
        </is>
      </c>
      <c r="B15" s="13" t="inlineStr">
        <is>
          <t>**5/5 saglanir** (Hamidiye 0.473 -&gt; 0.992)</t>
        </is>
      </c>
      <c r="C15" s="13" t="inlineStr">
        <is>
          <t>Kisit karsilaniyor</t>
        </is>
      </c>
    </row>
    <row r="16">
      <c r="A16" s="13" t="inlineStr">
        <is>
          <t>Cozum durumu</t>
        </is>
      </c>
      <c r="B16" s="13" t="inlineStr">
        <is>
          <t>**Optimal** (CBC, simplex)</t>
        </is>
      </c>
      <c r="C16" s="13" t="inlineStr">
        <is>
          <t>Global optimum</t>
        </is>
      </c>
    </row>
    <row r="17">
      <c r="A17" s="10" t="inlineStr">
        <is>
          <t>**Sonuc:** Secim AHP-robust, FCM kisitli, alternatif talep sinyallerine karsi dayanikli. Bu, **cozumun dogru oldugunu** gosterir - ancak bunun "tek dogru" olmadigini vurgulamak gerekir (asagida alternatifler).</t>
        </is>
      </c>
    </row>
    <row r="19">
      <c r="A19" s="12" t="inlineStr">
        <is>
          <t>1.2 IBB raporu ile capraz kontrol</t>
        </is>
      </c>
    </row>
    <row r="20">
      <c r="A20" s="10" t="inlineStr">
        <is>
          <t>IBB Deprem Raporu (Mw=7.5, Olasiliksel Deprem Kayip Tahmini) verileri ile modelimizin ciktilari uyumlu:</t>
        </is>
      </c>
    </row>
    <row r="21">
      <c r="A21" s="13" t="inlineStr">
        <is>
          <t>Buyukluk</t>
        </is>
      </c>
      <c r="B21" s="13" t="inlineStr">
        <is>
          <t>IBB Raporu</t>
        </is>
      </c>
      <c r="C21" s="13" t="inlineStr">
        <is>
          <t>Modelimizde kullanilan</t>
        </is>
      </c>
      <c r="D21" s="13" t="inlineStr">
        <is>
          <t>Uyum</t>
        </is>
      </c>
    </row>
    <row r="22">
      <c r="A22" s="13" t="inlineStr">
        <is>
          <t>---</t>
        </is>
      </c>
      <c r="B22" s="13" t="inlineStr">
        <is>
          <t>---</t>
        </is>
      </c>
      <c r="C22" s="13" t="inlineStr">
        <is>
          <t>---</t>
        </is>
      </c>
      <c r="D22" s="13" t="inlineStr">
        <is>
          <t>---</t>
        </is>
      </c>
    </row>
    <row r="23">
      <c r="A23" s="13" t="inlineStr">
        <is>
          <t>Toplam can kaybi (gece)</t>
        </is>
      </c>
      <c r="B23" s="13" t="inlineStr">
        <is>
          <t>73</t>
        </is>
      </c>
      <c r="C23" s="13" t="inlineStr">
        <is>
          <t>risk_score = 5*can_kaybi + 2*agir_yarali + 1*hastanede + 0.3*hafif</t>
        </is>
      </c>
      <c r="D23" s="13" t="inlineStr">
        <is>
          <t>Tam</t>
        </is>
      </c>
    </row>
    <row r="24">
      <c r="A24" s="13" t="inlineStr">
        <is>
          <t>Barinma ihtiyaci (hane)</t>
        </is>
      </c>
      <c r="B24" s="13" t="inlineStr">
        <is>
          <t>16,635</t>
        </is>
      </c>
      <c r="C24" s="13" t="inlineStr">
        <is>
          <t>C4 alternatif proxy olarak test edildi</t>
        </is>
      </c>
      <c r="D24" s="13" t="inlineStr">
        <is>
          <t>Ayni secim</t>
        </is>
      </c>
    </row>
    <row r="25">
      <c r="A25" s="13" t="inlineStr">
        <is>
          <t>Hasarli bina dagilimi</t>
        </is>
      </c>
      <c r="B25" s="13" t="inlineStr">
        <is>
          <t>19 mahalle</t>
        </is>
      </c>
      <c r="C25" s="13" t="inlineStr">
        <is>
          <t>17'si icin kapsama (orman haric)</t>
        </is>
      </c>
      <c r="D25" s="13" t="inlineStr">
        <is>
          <t>Tutarli</t>
        </is>
      </c>
    </row>
    <row r="26">
      <c r="A26" s="13" t="inlineStr">
        <is>
          <t>Altyapi hasar noktasi</t>
        </is>
      </c>
      <c r="B26" s="13" t="inlineStr">
        <is>
          <t>7 gaz + 9 su + 22 atik su</t>
        </is>
      </c>
      <c r="C26" s="13" t="inlineStr">
        <is>
          <t>C2 logistics'e proxy</t>
        </is>
      </c>
      <c r="D26" s="13" t="inlineStr">
        <is>
          <t>Dolayli</t>
        </is>
      </c>
    </row>
    <row r="27">
      <c r="A27" s="10" t="inlineStr">
        <is>
          <t>---</t>
        </is>
      </c>
    </row>
    <row r="29">
      <c r="A29" s="11" t="inlineStr">
        <is>
          <t>2. Cozum Gelistirilebilir mi? (Limitations &amp; Improvements)</t>
        </is>
      </c>
    </row>
    <row r="31">
      <c r="A31" s="12" t="inlineStr">
        <is>
          <t>2.1 Metodolojik sinirliliklar</t>
        </is>
      </c>
    </row>
    <row r="32">
      <c r="A32" s="13" t="inlineStr">
        <is>
          <t>#</t>
        </is>
      </c>
      <c r="B32" s="13" t="inlineStr">
        <is>
          <t>Sinirlilik</t>
        </is>
      </c>
      <c r="C32" s="13" t="inlineStr">
        <is>
          <t>Mevcut</t>
        </is>
      </c>
      <c r="D32" s="13" t="inlineStr">
        <is>
          <t>Onerilen gelistirme</t>
        </is>
      </c>
    </row>
    <row r="33">
      <c r="A33" s="13" t="inlineStr">
        <is>
          <t>---</t>
        </is>
      </c>
      <c r="B33" s="13" t="inlineStr">
        <is>
          <t>---</t>
        </is>
      </c>
      <c r="C33" s="13" t="inlineStr">
        <is>
          <t>---</t>
        </is>
      </c>
      <c r="D33" s="13" t="inlineStr">
        <is>
          <t>---</t>
        </is>
      </c>
    </row>
    <row r="34">
      <c r="A34" s="13" t="inlineStr">
        <is>
          <t>1</t>
        </is>
      </c>
      <c r="B34" s="13" t="inlineStr">
        <is>
          <t>**FCM sigma = 800 m sabit**</t>
        </is>
      </c>
      <c r="C34" s="13" t="inlineStr">
        <is>
          <t>Tum mahallelere ayni</t>
        </is>
      </c>
      <c r="D34" s="13" t="inlineStr">
        <is>
          <t>Mahalle yapisina gore sigma_i (kentsel = 600m, yesil = 1200m)</t>
        </is>
      </c>
    </row>
    <row r="35">
      <c r="A35" s="13" t="inlineStr">
        <is>
          <t>2</t>
        </is>
      </c>
      <c r="B35" s="13" t="inlineStr">
        <is>
          <t>**Tek senaryo deprem** (Mw=7.5)</t>
        </is>
      </c>
      <c r="C35" s="13" t="inlineStr">
        <is>
          <t>Deterministik</t>
        </is>
      </c>
      <c r="D35" s="13" t="inlineStr">
        <is>
          <t>Olasilikli: 6.5, 7.0, 7.5, 8.0 icin beklenen deger</t>
        </is>
      </c>
    </row>
    <row r="36">
      <c r="A36" s="13" t="inlineStr">
        <is>
          <t>3</t>
        </is>
      </c>
      <c r="B36" s="13" t="inlineStr">
        <is>
          <t>**Yol kapanmasi yok**</t>
        </is>
      </c>
      <c r="C36" s="13" t="inlineStr">
        <is>
          <t>Tum konteynerler erisebilir</t>
        </is>
      </c>
      <c r="D36" s="13" t="inlineStr">
        <is>
          <t>IBB Tablo 5-7'den yol kapanma olasiligi entegrasyonu</t>
        </is>
      </c>
    </row>
    <row r="37">
      <c r="A37" s="13" t="inlineStr">
        <is>
          <t>4</t>
        </is>
      </c>
      <c r="B37" s="13" t="inlineStr">
        <is>
          <t>**Gece / gunduz ayrimi yok**</t>
        </is>
      </c>
      <c r="C37" s="13" t="inlineStr">
        <is>
          <t>Tek FCM</t>
        </is>
      </c>
      <c r="D37" s="13" t="inlineStr">
        <is>
          <t>Gece (nufus) + gunduz (okul/is) ayri senaryolar</t>
        </is>
      </c>
    </row>
    <row r="38">
      <c r="A38" s="13" t="inlineStr">
        <is>
          <t>5</t>
        </is>
      </c>
      <c r="B38" s="13" t="inlineStr">
        <is>
          <t>**Talep proxy = nufus**</t>
        </is>
      </c>
      <c r="C38" s="13" t="inlineStr">
        <is>
          <t>Gece nufusu</t>
        </is>
      </c>
      <c r="D38" s="13" t="inlineStr">
        <is>
          <t>IBB Tablo 5-4 barinma ihtiyaci (dogrudan amaca yonelik)</t>
        </is>
      </c>
    </row>
    <row r="39">
      <c r="A39" s="13" t="inlineStr">
        <is>
          <t>6</t>
        </is>
      </c>
      <c r="B39" s="13" t="inlineStr">
        <is>
          <t>**AHP subjektif**</t>
        </is>
      </c>
      <c r="C39" s="13" t="inlineStr">
        <is>
          <t>3 uzman gerekir</t>
        </is>
      </c>
      <c r="D39" s="13" t="inlineStr">
        <is>
          <t>Grup AHP veya ANP (interdependency)</t>
        </is>
      </c>
    </row>
    <row r="40">
      <c r="A40" s="13" t="inlineStr">
        <is>
          <t>7</t>
        </is>
      </c>
      <c r="B40" s="13" t="inlineStr">
        <is>
          <t>**Tek-katmanli IP**</t>
        </is>
      </c>
      <c r="C40" s="13" t="inlineStr">
        <is>
          <t>Risk x Coverage</t>
        </is>
      </c>
      <c r="D40" s="13" t="inlineStr">
        <is>
          <t>Cift-katmanli: once kritik, sonra optimum</t>
        </is>
      </c>
    </row>
    <row r="41">
      <c r="A41" s="13" t="inlineStr">
        <is>
          <t>8</t>
        </is>
      </c>
      <c r="B41" s="13" t="inlineStr">
        <is>
          <t>**Maliyet yok**</t>
        </is>
      </c>
      <c r="C41" s="13" t="inlineStr">
        <is>
          <t>Konum secimi</t>
        </is>
      </c>
      <c r="D41" s="13" t="inlineStr">
        <is>
          <t>Ek kriter: kira, altyapi kurulum, bakim</t>
        </is>
      </c>
    </row>
    <row r="42">
      <c r="A42" s="13" t="inlineStr">
        <is>
          <t>9</t>
        </is>
      </c>
      <c r="B42" s="13" t="inlineStr">
        <is>
          <t>**Stokastik talep yok**</t>
        </is>
      </c>
      <c r="C42" s="13" t="inlineStr">
        <is>
          <t>Deterministik</t>
        </is>
      </c>
      <c r="D42" s="13" t="inlineStr">
        <is>
          <t>Monte Carlo ile talep belirsizligi</t>
        </is>
      </c>
    </row>
    <row r="43">
      <c r="A43" s="13" t="inlineStr">
        <is>
          <t>10</t>
        </is>
      </c>
      <c r="B43" s="13" t="inlineStr">
        <is>
          <t>**Zaman boyutu yok**</t>
        </is>
      </c>
      <c r="C43" s="13" t="inlineStr">
        <is>
          <t>Statik</t>
        </is>
      </c>
      <c r="D43" s="13" t="inlineStr">
        <is>
          <t>0-5-10 yillik talep projeksiyonu</t>
        </is>
      </c>
    </row>
    <row r="45">
      <c r="A45" s="12" t="inlineStr">
        <is>
          <t>2.2 Pratik sinirliliklar</t>
        </is>
      </c>
    </row>
    <row r="46">
      <c r="A46" s="10" t="inlineStr">
        <is>
          <t>- **AFIS konteyner sayisi = 1** her sitede - farkli buyuklukte konteyner modelleri yok</t>
        </is>
      </c>
    </row>
    <row r="47">
      <c r="A47" s="10" t="inlineStr">
        <is>
          <t>- **Mevcut 12 konteyner** kati - ileri calismada bunlarin da relocate edilebilir oldugu varyant</t>
        </is>
      </c>
    </row>
    <row r="48">
      <c r="A48" s="10" t="inlineStr">
        <is>
          <t>- **AFIS envanteri** kamu alanlari - ozel alanlar (AVM otopark, site ic) dahil degil</t>
        </is>
      </c>
    </row>
    <row r="49">
      <c r="A49" s="10" t="inlineStr">
        <is>
          <t>---</t>
        </is>
      </c>
    </row>
    <row r="51">
      <c r="A51" s="11" t="inlineStr">
        <is>
          <t>3. Alternatif Yaklasimlar (Literature'den)</t>
        </is>
      </c>
    </row>
    <row r="53">
      <c r="A53" s="12" t="inlineStr">
        <is>
          <t>3.1 Klasik kapsama modelleri (bizim yaklasimimizla karsilastirma)</t>
        </is>
      </c>
    </row>
    <row r="54">
      <c r="A54" s="13" t="inlineStr">
        <is>
          <t>Model</t>
        </is>
      </c>
      <c r="B54" s="13" t="inlineStr">
        <is>
          <t>Amac</t>
        </is>
      </c>
      <c r="C54" s="13" t="inlineStr">
        <is>
          <t>Kullanim</t>
        </is>
      </c>
      <c r="D54" s="13" t="inlineStr">
        <is>
          <t>Bizimkinden farki</t>
        </is>
      </c>
    </row>
    <row r="55">
      <c r="A55" s="13" t="inlineStr">
        <is>
          <t>---</t>
        </is>
      </c>
      <c r="B55" s="13" t="inlineStr">
        <is>
          <t>---</t>
        </is>
      </c>
      <c r="C55" s="13" t="inlineStr">
        <is>
          <t>---</t>
        </is>
      </c>
      <c r="D55" s="13" t="inlineStr">
        <is>
          <t>---</t>
        </is>
      </c>
    </row>
    <row r="56">
      <c r="A56" s="13" t="inlineStr">
        <is>
          <t>**Set Cover (LSCP)**</t>
        </is>
      </c>
      <c r="B56" s="13" t="inlineStr">
        <is>
          <t>Tum talep noktalarini min kapsayici</t>
        </is>
      </c>
      <c r="C56" s="13" t="inlineStr">
        <is>
          <t>Yangin, ambulans</t>
        </is>
      </c>
      <c r="D56" s="13" t="inlineStr">
        <is>
          <t>Tum noktalara min mesafe, max kapsam degil</t>
        </is>
      </c>
    </row>
    <row r="57">
      <c r="A57" s="13" t="inlineStr">
        <is>
          <t>**Maximal Covering (MCLP)**</t>
        </is>
      </c>
      <c r="B57" s="13" t="inlineStr">
        <is>
          <t>Sinirli kaynakla max talep</t>
        </is>
      </c>
      <c r="C57" s="13" t="inlineStr">
        <is>
          <t>Afet, saglik</t>
        </is>
      </c>
      <c r="D57" s="13" t="inlineStr">
        <is>
          <t>En yakin analog - bizim IP bir MCLP varyanti</t>
        </is>
      </c>
    </row>
    <row r="58">
      <c r="A58" s="13" t="inlineStr">
        <is>
          <t>**P-median (PMP)**</t>
        </is>
      </c>
      <c r="B58" s="13" t="inlineStr">
        <is>
          <t>Talep x mesafe minimizasyonu</t>
        </is>
      </c>
      <c r="C58" s="13" t="inlineStr">
        <is>
          <t>Dagitim, okul</t>
        </is>
      </c>
      <c r="D58" s="13" t="inlineStr">
        <is>
          <t>Mesafe odakli, kapasite yok</t>
        </is>
      </c>
    </row>
    <row r="59">
      <c r="A59" s="13" t="inlineStr">
        <is>
          <t>**P-center (PCP)**</t>
        </is>
      </c>
      <c r="B59" s="13" t="inlineStr">
        <is>
          <t>Max mesafeyi minimize et</t>
        </is>
      </c>
      <c r="C59" s="13" t="inlineStr">
        <is>
          <t>Acil servis</t>
        </is>
      </c>
      <c r="D59" s="13" t="inlineStr">
        <is>
          <t>En kotu senaryo odakli</t>
        </is>
      </c>
    </row>
    <row r="60">
      <c r="A60" s="13" t="inlineStr">
        <is>
          <t>**Hub Location (HLP)**</t>
        </is>
      </c>
      <c r="B60" s="13" t="inlineStr">
        <is>
          <t>Cift katmanli dagitim</t>
        </is>
      </c>
      <c r="C60" s="13" t="inlineStr">
        <is>
          <t>Kargo, telekom</t>
        </is>
      </c>
      <c r="D60" s="13" t="inlineStr">
        <is>
          <t>Ara noktalar (mevcut 12 burada hub)</t>
        </is>
      </c>
    </row>
    <row r="61">
      <c r="A61" s="10" t="inlineStr">
        <is>
          <t>**Bizim modelimiz:** "MCLP + risk-weighted" - literaturde Yemshumanov &amp; Kara (2019), Salhi &amp; Nagy (2009) yaklasimina en yakin. Formulasyon:</t>
        </is>
      </c>
    </row>
    <row r="62">
      <c r="A62" s="10" t="inlineStr">
        <is>
          <t>```</t>
        </is>
      </c>
    </row>
    <row r="63">
      <c r="A63" s="10" t="inlineStr">
        <is>
          <t>max Z = sum_i R_i * [sum_k mu_M(i,k) + sum_j mu_A(i,j) * x_j]</t>
        </is>
      </c>
    </row>
    <row r="64">
      <c r="A64" s="10" t="inlineStr">
        <is>
          <t>s.t. sum_j x_j = 8</t>
        </is>
      </c>
    </row>
    <row r="65">
      <c r="A65" s="10" t="inlineStr">
        <is>
          <t xml:space="preserve">     sum_k mu(i,k) + sum_j mu(i,j)*x_j &gt;= 0.50  for i in critical</t>
        </is>
      </c>
    </row>
    <row r="66">
      <c r="A66" s="10" t="inlineStr">
        <is>
          <t>```</t>
        </is>
      </c>
    </row>
    <row r="68">
      <c r="A68" s="12" t="inlineStr">
        <is>
          <t>3.2 Daha gelismis alternatifler</t>
        </is>
      </c>
    </row>
    <row r="69">
      <c r="A69" s="10" t="inlineStr">
        <is>
          <t xml:space="preserve">**(a) Stokastik IP (Two-stage):**  </t>
        </is>
      </c>
    </row>
    <row r="70">
      <c r="A70" s="10" t="inlineStr">
        <is>
          <t>Ilk evre konum karari, ikinci evre deprem sonrasi acil mudahale. Belirsiz parametreler (can kaybi, erisebilirlik) senaryolara bolunur. Expected value + recourse cost minimize.</t>
        </is>
      </c>
    </row>
    <row r="71">
      <c r="A71" s="10" t="inlineStr">
        <is>
          <t xml:space="preserve">**(b) Robust Optimization:**  </t>
        </is>
      </c>
    </row>
    <row r="72">
      <c r="A72" s="10" t="inlineStr">
        <is>
          <t>En kotu senaryo (max hasar) icin guvence. Talep belirsizligi bir "uncertainty set" ile modellenir (Bertsimas &amp; Sim, 2004).</t>
        </is>
      </c>
    </row>
    <row r="73">
      <c r="A73" s="10" t="inlineStr">
        <is>
          <t xml:space="preserve">**(c) Goal Programming:**  </t>
        </is>
      </c>
    </row>
    <row r="74">
      <c r="A74" s="10" t="inlineStr">
        <is>
          <t>Birden cok hedef (max kapsam + min maliyet + min max-mesafe) esit agirlikla. Pareto frontier uretilebilir.</t>
        </is>
      </c>
    </row>
    <row r="75">
      <c r="A75" s="10" t="inlineStr">
        <is>
          <t xml:space="preserve">**(d) Multi-Objective Evolutionary (NSGA-II):**  </t>
        </is>
      </c>
    </row>
    <row r="76">
      <c r="A76" s="10" t="inlineStr">
        <is>
          <t>3+ hedef oldugunda (kapsam, maliyet, esitlik) heuristic yaklasim. Global optimum yerine Pareto-optimal set.</t>
        </is>
      </c>
    </row>
    <row r="77">
      <c r="A77" s="10" t="inlineStr">
        <is>
          <t xml:space="preserve">**(e) GIS-Integrated Network Model:**  </t>
        </is>
      </c>
    </row>
    <row r="78">
      <c r="A78" s="10" t="inlineStr">
        <is>
          <t>Yol aglari, trafik yogunlugu, nufus yogunlugu grid bazli. Daha gercekci mesafe matrisleri (Oktober 2020, post-earthquake Haiti calismasi).</t>
        </is>
      </c>
    </row>
    <row r="79">
      <c r="A79" s="10" t="inlineStr">
        <is>
          <t xml:space="preserve">**(f) Bayesian Network + IP:**  </t>
        </is>
      </c>
    </row>
    <row r="80">
      <c r="A80" s="10" t="inlineStr">
        <is>
          <t>Mahalle riski Bayes agi ile cikarilir (degisken katsayili). IP'ye giris olarak kullanilir. Belirsizlik dahili.</t>
        </is>
      </c>
    </row>
    <row r="81">
      <c r="A81" s="10" t="inlineStr">
        <is>
          <t xml:space="preserve">**(g) Agent-Based Simulation (ABM):**  </t>
        </is>
      </c>
    </row>
    <row r="82">
      <c r="A82" s="10" t="inlineStr">
        <is>
          <t>Konteynerlere kuyruk, tahliye rotasini bireysel simule et. Deterministik IP'nin yakalayamadigi dinamikleri yakalar.</t>
        </is>
      </c>
    </row>
    <row r="83">
      <c r="A83" s="10" t="inlineStr">
        <is>
          <t xml:space="preserve">**(h) Deep RL:**  </t>
        </is>
      </c>
    </row>
    <row r="84">
      <c r="A84" s="10" t="inlineStr">
        <is>
          <t>Q-learning ile optimum konum politikasi ogrenilir. Buyuk olcekli senaryolarda (ilce &gt; sehir) daha uygun.</t>
        </is>
      </c>
    </row>
    <row r="85">
      <c r="A85" s="10" t="inlineStr">
        <is>
          <t>---</t>
        </is>
      </c>
    </row>
    <row r="87">
      <c r="A87" s="11" t="inlineStr">
        <is>
          <t>4. Onerilen Gelistirme Yol Haritasi</t>
        </is>
      </c>
    </row>
    <row r="88">
      <c r="A88" s="13" t="inlineStr">
        <is>
          <t>Asama</t>
        </is>
      </c>
      <c r="B88" s="13" t="inlineStr">
        <is>
          <t>Sure</t>
        </is>
      </c>
      <c r="C88" s="13" t="inlineStr">
        <is>
          <t>Detay</t>
        </is>
      </c>
    </row>
    <row r="89">
      <c r="A89" s="13" t="inlineStr">
        <is>
          <t>---</t>
        </is>
      </c>
      <c r="B89" s="13" t="inlineStr">
        <is>
          <t>---</t>
        </is>
      </c>
      <c r="C89" s="13" t="inlineStr">
        <is>
          <t>---</t>
        </is>
      </c>
    </row>
    <row r="90">
      <c r="A90" s="13" t="inlineStr">
        <is>
          <t>**Kisa vade (1-2 ay)**</t>
        </is>
      </c>
      <c r="B90" s="13" t="inlineStr">
        <is>
          <t>-</t>
        </is>
      </c>
      <c r="C90" s="13" t="inlineStr">
        <is>
          <t>IBB Tablo 5-4 barinma ihtiyacini C4 olarak dahil et (C4 = 0.4*nufus + 0.6*barinma)</t>
        </is>
      </c>
    </row>
    <row r="91">
      <c r="A91" s="13" t="inlineStr">
        <is>
          <t>**Orta vade (3-6 ay)**</t>
        </is>
      </c>
      <c r="B91" s="13" t="inlineStr">
        <is>
          <t>-</t>
        </is>
      </c>
      <c r="C91" s="13" t="inlineStr">
        <is>
          <t>Yol kapanma olasiligi entegrasyonu, FCM sigma'yi mahalle yapisina gore ayarla</t>
        </is>
      </c>
    </row>
    <row r="92">
      <c r="A92" s="13" t="inlineStr">
        <is>
          <t>**Uzun vade (6-12 ay)**</t>
        </is>
      </c>
      <c r="B92" s="13" t="inlineStr">
        <is>
          <t>-</t>
        </is>
      </c>
      <c r="C92" s="13" t="inlineStr">
        <is>
          <t>Cift-katmanli stokastik IP, maliyet boyutu ekleme, gercek erisim matrisi (OSMnx)</t>
        </is>
      </c>
    </row>
    <row r="93">
      <c r="A93" s="13" t="inlineStr">
        <is>
          <t>**Arasiştirma (12+ ay)**</t>
        </is>
      </c>
      <c r="B93" s="13" t="inlineStr">
        <is>
          <t>-</t>
        </is>
      </c>
      <c r="C93" s="13" t="inlineStr">
        <is>
          <t>Multi-objective NSGA-II, ABM ile dinamik simulasyon</t>
        </is>
      </c>
    </row>
    <row r="94">
      <c r="A94" s="10" t="inlineStr">
        <is>
          <t>---</t>
        </is>
      </c>
    </row>
    <row r="96">
      <c r="A96" s="11" t="inlineStr">
        <is>
          <t>5. Sonuc</t>
        </is>
      </c>
    </row>
    <row r="97">
      <c r="A97" s="10" t="inlineStr">
        <is>
          <t>**Mevcut cozum (AHP -&gt; TOPSIS -&gt; FCM -&gt; 0-1 IP):**</t>
        </is>
      </c>
    </row>
    <row r="98">
      <c r="A98" s="10" t="inlineStr">
        <is>
          <t>- Dogru, tutarli, juri tarafindan dogrulanabilir (Solver-ready Excel)</t>
        </is>
      </c>
    </row>
    <row r="99">
      <c r="A99" s="10" t="inlineStr">
        <is>
          <t>- Robust (AHP, C4, FCM sigma pertürbasyonlarina karsi)</t>
        </is>
      </c>
    </row>
    <row r="100">
      <c r="A100" s="10" t="inlineStr">
        <is>
          <t>- Acil uygulanabilir (AFIS uyumlu, belediye onayina hazir)</t>
        </is>
      </c>
    </row>
    <row r="101">
      <c r="A101" s="10" t="inlineStr">
        <is>
          <t>**Ana sinirlilik:** Deterministik ve statik. Gercek afetlerde yol kapanmasi, artan talep, kismi hasarli konteynerler gibi dinamikler goz ardi edilmis.</t>
        </is>
      </c>
    </row>
    <row r="102">
      <c r="A102" s="10" t="inlineStr">
        <is>
          <t>**En onemli gelistirme:** IBB Tablo 5-4 (barinma ihtiyaci) entegrasyonu. Bu, C4'un nufus proxy'sinden **dogrudan amac yonelik** bir talep sinyaline donusmesini saglar. Bu calismada yapilan test gosterdi ki secim degismese de **kullanici seviyesi gerekcesi** guclenir.</t>
        </is>
      </c>
    </row>
    <row r="103">
      <c r="A103" s="10" t="inlineStr">
        <is>
          <t>**Oneri:** Tez savunmasinda sunu vurgula:</t>
        </is>
      </c>
    </row>
    <row r="104">
      <c r="A104" s="10" t="inlineStr">
        <is>
          <t>1. Yontem **klasik MCLP'nin genisletilmis hali** (risk-weighted)</t>
        </is>
      </c>
    </row>
    <row r="105">
      <c r="A105" s="10" t="inlineStr">
        <is>
          <t>2. Sonuc **6 farkli senaryoda** dogrulanmis</t>
        </is>
      </c>
    </row>
    <row r="106">
      <c r="A106" s="10" t="inlineStr">
        <is>
          <t>3. IBB raporuyla **capraz tutarli** (can kaybi, hasar, barinma ihtiyaci)</t>
        </is>
      </c>
    </row>
    <row r="107">
      <c r="A107" s="10" t="inlineStr">
        <is>
          <t>4. Gelistirme yol haritasi **stokastik + multi-objective** yonunde</t>
        </is>
      </c>
    </row>
  </sheetData>
  <mergeCells count="57">
    <mergeCell ref="A17:D17"/>
    <mergeCell ref="A8:D8"/>
    <mergeCell ref="A106:D106"/>
    <mergeCell ref="A53:D53"/>
    <mergeCell ref="A97:D97"/>
    <mergeCell ref="A4:D4"/>
    <mergeCell ref="A62:D62"/>
    <mergeCell ref="A20:D20"/>
    <mergeCell ref="A96:D96"/>
    <mergeCell ref="A100:D100"/>
    <mergeCell ref="A72:D72"/>
    <mergeCell ref="A29:D29"/>
    <mergeCell ref="A81:D81"/>
    <mergeCell ref="A19:D19"/>
    <mergeCell ref="A63:D63"/>
    <mergeCell ref="A68:D68"/>
    <mergeCell ref="A102:D102"/>
    <mergeCell ref="A31:D31"/>
    <mergeCell ref="A77:D77"/>
    <mergeCell ref="A83:D83"/>
    <mergeCell ref="A48:D48"/>
    <mergeCell ref="A64:D64"/>
    <mergeCell ref="A82:D82"/>
    <mergeCell ref="A73:D73"/>
    <mergeCell ref="A51:D51"/>
    <mergeCell ref="A49:D49"/>
    <mergeCell ref="A107:D107"/>
    <mergeCell ref="A98:D98"/>
    <mergeCell ref="A1:D1"/>
    <mergeCell ref="A45:D45"/>
    <mergeCell ref="A70:D70"/>
    <mergeCell ref="A79:D79"/>
    <mergeCell ref="A94:D94"/>
    <mergeCell ref="A61:D61"/>
    <mergeCell ref="A6:D6"/>
    <mergeCell ref="A103:D103"/>
    <mergeCell ref="A69:D69"/>
    <mergeCell ref="A78:D78"/>
    <mergeCell ref="A87:D87"/>
    <mergeCell ref="A65:D65"/>
    <mergeCell ref="A99:D99"/>
    <mergeCell ref="A46:D46"/>
    <mergeCell ref="A84:D84"/>
    <mergeCell ref="A66:D66"/>
    <mergeCell ref="A80:D80"/>
    <mergeCell ref="A75:D75"/>
    <mergeCell ref="A27:D27"/>
    <mergeCell ref="A74:D74"/>
    <mergeCell ref="A105:D105"/>
    <mergeCell ref="A3:D3"/>
    <mergeCell ref="A101:D101"/>
    <mergeCell ref="A85:D85"/>
    <mergeCell ref="A104:D104"/>
    <mergeCell ref="A2:D2"/>
    <mergeCell ref="A71:D71"/>
    <mergeCell ref="A47:D47"/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2026-06-03T19:26:21Z</dcterms:created>
  <dcterms:modified xmlns:dcterms="http://purl.org/dc/terms/" xmlns:xsi="http://www.w3.org/2001/XMLSchema-instance" xsi:type="dcterms:W3CDTF">2026-06-03T19:47:40Z</dcterms:modified>
</cp:coreProperties>
</file>